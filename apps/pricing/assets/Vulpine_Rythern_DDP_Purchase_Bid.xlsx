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c9ca2f9ab40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Sheet" sheetId="1" r:id="Rdcb0bfd8ae0c4baf"/>
    <x:sheet xmlns:r="http://schemas.openxmlformats.org/officeDocument/2006/relationships" name="Unit Type" sheetId="2" r:id="R0b69035b98554fd3"/>
    <x:sheet xmlns:r="http://schemas.openxmlformats.org/officeDocument/2006/relationships" name="Unit Type (2)" sheetId="3" r:id="R469647e25b394ffa"/>
    <x:sheet xmlns:r="http://schemas.openxmlformats.org/officeDocument/2006/relationships" name="Unit Type (3)" sheetId="4" r:id="Rbea063e13d824c40"/>
    <x:sheet xmlns:r="http://schemas.openxmlformats.org/officeDocument/2006/relationships" name="Unit Type (4)" sheetId="5" r:id="Rc0b9755c1ba54b8b"/>
    <x:sheet xmlns:r="http://schemas.openxmlformats.org/officeDocument/2006/relationships" name="Unit Type (5)" sheetId="6" r:id="Rc75d7d3417524860"/>
    <x:sheet xmlns:r="http://schemas.openxmlformats.org/officeDocument/2006/relationships" name="Unit Type (6)" sheetId="7" r:id="R88ea77145bdd44e4"/>
    <x:sheet xmlns:r="http://schemas.openxmlformats.org/officeDocument/2006/relationships" name="Unit Type (7)" sheetId="8" r:id="R60604f3f141541bb"/>
    <x:sheet xmlns:r="http://schemas.openxmlformats.org/officeDocument/2006/relationships" name="Unit Type (8)" sheetId="9" r:id="Rac21ff3e83af4462"/>
    <x:sheet xmlns:r="http://schemas.openxmlformats.org/officeDocument/2006/relationships" name="Unit Type (9)" sheetId="10" r:id="R33cc9d4d5cc141e8"/>
    <x:sheet xmlns:r="http://schemas.openxmlformats.org/officeDocument/2006/relationships" name="Unit Type (10)" sheetId="11" r:id="R0a4f55cdfe0f46b4"/>
    <x:sheet xmlns:r="http://schemas.openxmlformats.org/officeDocument/2006/relationships" name="Unit Type (11)" sheetId="12" r:id="Rc5a3f75ad7644d9f"/>
    <x:sheet xmlns:r="http://schemas.openxmlformats.org/officeDocument/2006/relationships" name="Unit Type (12)" sheetId="13" r:id="R2632a9229c044216"/>
    <x:sheet xmlns:r="http://schemas.openxmlformats.org/officeDocument/2006/relationships" name="Unit Type (13)" sheetId="14" r:id="R5a1478a287254cf8"/>
    <x:sheet xmlns:r="http://schemas.openxmlformats.org/officeDocument/2006/relationships" name="Unit Type (14)" sheetId="15" r:id="R8b5870f804254a31"/>
    <x:sheet xmlns:r="http://schemas.openxmlformats.org/officeDocument/2006/relationships" name="Unit Type (15)" sheetId="16" r:id="R23baf04ceadd4005"/>
    <x:sheet xmlns:r="http://schemas.openxmlformats.org/officeDocument/2006/relationships" name="Unit Type (16)" sheetId="17" r:id="Rd2c9406648bc4ebb"/>
    <x:sheet xmlns:r="http://schemas.openxmlformats.org/officeDocument/2006/relationships" name="Unit Type (17)" sheetId="18" r:id="R0ecbd14531df49c4"/>
    <x:sheet xmlns:r="http://schemas.openxmlformats.org/officeDocument/2006/relationships" name="Unit Type (18)" sheetId="19" r:id="R69f8f13e81ce4b7d"/>
    <x:sheet xmlns:r="http://schemas.openxmlformats.org/officeDocument/2006/relationships" name="Unit Type (19)" sheetId="20" r:id="R71ad29f76ed3419b"/>
    <x:sheet xmlns:r="http://schemas.openxmlformats.org/officeDocument/2006/relationships" name="Unit Type (20)" sheetId="21" r:id="R35e6b9f7c97c423e"/>
    <x:sheet xmlns:r="http://schemas.openxmlformats.org/officeDocument/2006/relationships" name="Unit Type (21)" sheetId="22" r:id="R42a5bcee65a4427f"/>
    <x:sheet xmlns:r="http://schemas.openxmlformats.org/officeDocument/2006/relationships" name="Unit Type (22)" sheetId="23" r:id="Red9e221fa46a4be0"/>
    <x:sheet xmlns:r="http://schemas.openxmlformats.org/officeDocument/2006/relationships" name="Unit Type (23)" sheetId="24" r:id="R074e91637fd94406"/>
    <x:sheet xmlns:r="http://schemas.openxmlformats.org/officeDocument/2006/relationships" name="Unit Type (24)" sheetId="25" r:id="R7a4dabcb96744ef1"/>
    <x:sheet xmlns:r="http://schemas.openxmlformats.org/officeDocument/2006/relationships" name="Unit Type (25)" sheetId="26" r:id="R7ce60179407e4294"/>
    <x:sheet xmlns:r="http://schemas.openxmlformats.org/officeDocument/2006/relationships" name="Unit Type (26)" sheetId="27" r:id="Rc75fa58d64334417"/>
    <x:sheet xmlns:r="http://schemas.openxmlformats.org/officeDocument/2006/relationships" name="Unit Type (27)" sheetId="28" r:id="R4fbcf07ec7e44592"/>
    <x:sheet xmlns:r="http://schemas.openxmlformats.org/officeDocument/2006/relationships" name="Unit Type (28)" sheetId="29" r:id="R217e63fd54b44dc3"/>
    <x:sheet xmlns:r="http://schemas.openxmlformats.org/officeDocument/2006/relationships" name="Unit Type (29)" sheetId="30" r:id="Re69338a2c8624b79"/>
    <x:sheet xmlns:r="http://schemas.openxmlformats.org/officeDocument/2006/relationships" name="Unit Type (30)" sheetId="31" r:id="R0492066b95384965"/>
    <x:sheet xmlns:r="http://schemas.openxmlformats.org/officeDocument/2006/relationships" name="Unit Type (31)" sheetId="32" r:id="R2d6ef9a39b874ea8"/>
    <x:sheet xmlns:r="http://schemas.openxmlformats.org/officeDocument/2006/relationships" name="Unit Type (32)" sheetId="33" r:id="R2a47f4778aaa4779"/>
    <x:sheet xmlns:r="http://schemas.openxmlformats.org/officeDocument/2006/relationships" name="Unit Type (33)" sheetId="34" r:id="Rf21b6b78e48745b6"/>
    <x:sheet xmlns:r="http://schemas.openxmlformats.org/officeDocument/2006/relationships" name="Unit Type (34)" sheetId="35" r:id="R09eba020d3304f57"/>
    <x:sheet xmlns:r="http://schemas.openxmlformats.org/officeDocument/2006/relationships" name="Unit Type (35)" sheetId="36" r:id="Rfb1f4b5bf9404ae7"/>
    <x:sheet xmlns:r="http://schemas.openxmlformats.org/officeDocument/2006/relationships" name="Unit Type (36)" sheetId="37" r:id="Ra7188b09e00b4b5b"/>
    <x:sheet xmlns:r="http://schemas.openxmlformats.org/officeDocument/2006/relationships" name="Unit Type (37)" sheetId="38" r:id="R4396fcfbbea44351"/>
    <x:sheet xmlns:r="http://schemas.openxmlformats.org/officeDocument/2006/relationships" name="Unit Type (38)" sheetId="39" r:id="R8bbc66766e6e436a"/>
    <x:sheet xmlns:r="http://schemas.openxmlformats.org/officeDocument/2006/relationships" name="Unit Type (39)" sheetId="40" r:id="Rf0f3b7a29e654d1c"/>
    <x:sheet xmlns:r="http://schemas.openxmlformats.org/officeDocument/2006/relationships" name="Unit Type (40)" sheetId="41" r:id="R0a4558a9798a4f45"/>
    <x:sheet xmlns:r="http://schemas.openxmlformats.org/officeDocument/2006/relationships" name="Unit Type (41)" sheetId="42" r:id="Rcca52a39862f41bc"/>
    <x:sheet xmlns:r="http://schemas.openxmlformats.org/officeDocument/2006/relationships" name="Unit Type (42)" sheetId="43" r:id="Rf9936ba6e41e438c"/>
    <x:sheet xmlns:r="http://schemas.openxmlformats.org/officeDocument/2006/relationships" name="Unit Type (43)" sheetId="44" r:id="Rfaa227e6c6ae40d5"/>
    <x:sheet xmlns:r="http://schemas.openxmlformats.org/officeDocument/2006/relationships" name="Unit Type (44)" sheetId="45" r:id="R50d35763b0b14d61"/>
    <x:sheet xmlns:r="http://schemas.openxmlformats.org/officeDocument/2006/relationships" name="Unit Type (45)" sheetId="46" r:id="R668ed113d64747a7"/>
    <x:sheet xmlns:r="http://schemas.openxmlformats.org/officeDocument/2006/relationships" name="Unit Type (46)" sheetId="47" r:id="R7b7edfe1ea3c42df"/>
    <x:sheet xmlns:r="http://schemas.openxmlformats.org/officeDocument/2006/relationships" name="Unit Type (47)" sheetId="48" r:id="R545527fa785d4925"/>
    <x:sheet xmlns:r="http://schemas.openxmlformats.org/officeDocument/2006/relationships" name="Unit Type (48)" sheetId="49" r:id="R16fb89876d5e448f"/>
    <x:sheet xmlns:r="http://schemas.openxmlformats.org/officeDocument/2006/relationships" name="Unit Type (49)" sheetId="50" r:id="Rb66c1ffdafdd46eb"/>
    <x:sheet xmlns:r="http://schemas.openxmlformats.org/officeDocument/2006/relationships" name="Unit Type (50)" sheetId="51" r:id="Raca23b0b55384c78"/>
    <x:sheet xmlns:r="http://schemas.openxmlformats.org/officeDocument/2006/relationships" name="Rythern Catalog" sheetId="52" r:id="R83159334faf74e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0.00000"/>
    <x:numFmt numFmtId="201" formatCode="$#,##0.00;($#,##0.00);&quot;—&quot;"/>
  </x:numFmts>
  <x:fonts count="5">
    <x:font>
      <x:sz val="11"/>
      <x:name val="Carlito"/>
    </x:font>
    <x:font>
      <x:sz val="10"/>
      <x:color rgb="FF172534"/>
      <x:name val="Arial"/>
    </x:font>
    <x:font>
      <x:b/>
      <x:sz val="14"/>
      <x:color rgb="FF172534"/>
      <x:name val="Arial"/>
    </x:font>
    <x:font>
      <x:b/>
      <x:sz val="10"/>
      <x:color rgb="FFFFFFFF"/>
      <x:name val="Arial"/>
    </x:font>
    <x:font>
      <x:b/>
      <x:sz val="10"/>
      <x:color rgb="FF17253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534"/>
      </x:patternFill>
    </x:fill>
    <x:fill>
      <x:patternFill patternType="solid">
        <x:fgColor rgb="FFFFF1C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0"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  <x:dxf>
      <x:font>
        <x:b/>
        <x:color rgb="FFA11D1D"/>
      </x:font>
      <x:fill>
        <x:patternFill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f889b294a4722" /><Relationship Type="http://schemas.openxmlformats.org/officeDocument/2006/relationships/theme" Target="/xl/theme/theme1.xml" Id="R18ecbb3418a8406d" /><Relationship Type="http://schemas.openxmlformats.org/officeDocument/2006/relationships/sharedStrings" Target="/xl/sharedStrings.xml" Id="R690eafe4f32848c9" /><Relationship Type="http://schemas.openxmlformats.org/officeDocument/2006/relationships/worksheet" Target="/xl/worksheets/sheet1.xml" Id="Rdcb0bfd8ae0c4baf" /><Relationship Type="http://schemas.openxmlformats.org/officeDocument/2006/relationships/worksheet" Target="/xl/worksheets/sheet2.xml" Id="R0b69035b98554fd3" /><Relationship Type="http://schemas.openxmlformats.org/officeDocument/2006/relationships/worksheet" Target="/xl/worksheets/sheet3.xml" Id="R469647e25b394ffa" /><Relationship Type="http://schemas.openxmlformats.org/officeDocument/2006/relationships/worksheet" Target="/xl/worksheets/sheet4.xml" Id="Rbea063e13d824c40" /><Relationship Type="http://schemas.openxmlformats.org/officeDocument/2006/relationships/worksheet" Target="/xl/worksheets/sheet5.xml" Id="Rc0b9755c1ba54b8b" /><Relationship Type="http://schemas.openxmlformats.org/officeDocument/2006/relationships/worksheet" Target="/xl/worksheets/sheet6.xml" Id="Rc75d7d3417524860" /><Relationship Type="http://schemas.openxmlformats.org/officeDocument/2006/relationships/worksheet" Target="/xl/worksheets/sheet7.xml" Id="R88ea77145bdd44e4" /><Relationship Type="http://schemas.openxmlformats.org/officeDocument/2006/relationships/worksheet" Target="/xl/worksheets/sheet8.xml" Id="R60604f3f141541bb" /><Relationship Type="http://schemas.openxmlformats.org/officeDocument/2006/relationships/worksheet" Target="/xl/worksheets/sheet9.xml" Id="Rac21ff3e83af4462" /><Relationship Type="http://schemas.openxmlformats.org/officeDocument/2006/relationships/worksheet" Target="/xl/worksheets/sheet10.xml" Id="R33cc9d4d5cc141e8" /><Relationship Type="http://schemas.openxmlformats.org/officeDocument/2006/relationships/worksheet" Target="/xl/worksheets/sheet11.xml" Id="R0a4f55cdfe0f46b4" /><Relationship Type="http://schemas.openxmlformats.org/officeDocument/2006/relationships/worksheet" Target="/xl/worksheets/sheet12.xml" Id="Rc5a3f75ad7644d9f" /><Relationship Type="http://schemas.openxmlformats.org/officeDocument/2006/relationships/worksheet" Target="/xl/worksheets/sheet13.xml" Id="R2632a9229c044216" /><Relationship Type="http://schemas.openxmlformats.org/officeDocument/2006/relationships/worksheet" Target="/xl/worksheets/sheet14.xml" Id="R5a1478a287254cf8" /><Relationship Type="http://schemas.openxmlformats.org/officeDocument/2006/relationships/worksheet" Target="/xl/worksheets/sheet15.xml" Id="R8b5870f804254a31" /><Relationship Type="http://schemas.openxmlformats.org/officeDocument/2006/relationships/worksheet" Target="/xl/worksheets/sheet16.xml" Id="R23baf04ceadd4005" /><Relationship Type="http://schemas.openxmlformats.org/officeDocument/2006/relationships/worksheet" Target="/xl/worksheets/sheet17.xml" Id="Rd2c9406648bc4ebb" /><Relationship Type="http://schemas.openxmlformats.org/officeDocument/2006/relationships/worksheet" Target="/xl/worksheets/sheet18.xml" Id="R0ecbd14531df49c4" /><Relationship Type="http://schemas.openxmlformats.org/officeDocument/2006/relationships/worksheet" Target="/xl/worksheets/sheet19.xml" Id="R69f8f13e81ce4b7d" /><Relationship Type="http://schemas.openxmlformats.org/officeDocument/2006/relationships/worksheet" Target="/xl/worksheets/sheet20.xml" Id="R71ad29f76ed3419b" /><Relationship Type="http://schemas.openxmlformats.org/officeDocument/2006/relationships/worksheet" Target="/xl/worksheets/sheet21.xml" Id="R35e6b9f7c97c423e" /><Relationship Type="http://schemas.openxmlformats.org/officeDocument/2006/relationships/worksheet" Target="/xl/worksheets/sheet22.xml" Id="R42a5bcee65a4427f" /><Relationship Type="http://schemas.openxmlformats.org/officeDocument/2006/relationships/worksheet" Target="/xl/worksheets/sheet23.xml" Id="Red9e221fa46a4be0" /><Relationship Type="http://schemas.openxmlformats.org/officeDocument/2006/relationships/worksheet" Target="/xl/worksheets/sheet24.xml" Id="R074e91637fd94406" /><Relationship Type="http://schemas.openxmlformats.org/officeDocument/2006/relationships/worksheet" Target="/xl/worksheets/sheet25.xml" Id="R7a4dabcb96744ef1" /><Relationship Type="http://schemas.openxmlformats.org/officeDocument/2006/relationships/worksheet" Target="/xl/worksheets/sheet26.xml" Id="R7ce60179407e4294" /><Relationship Type="http://schemas.openxmlformats.org/officeDocument/2006/relationships/worksheet" Target="/xl/worksheets/sheet27.xml" Id="Rc75fa58d64334417" /><Relationship Type="http://schemas.openxmlformats.org/officeDocument/2006/relationships/worksheet" Target="/xl/worksheets/sheet28.xml" Id="R4fbcf07ec7e44592" /><Relationship Type="http://schemas.openxmlformats.org/officeDocument/2006/relationships/worksheet" Target="/xl/worksheets/sheet29.xml" Id="R217e63fd54b44dc3" /><Relationship Type="http://schemas.openxmlformats.org/officeDocument/2006/relationships/worksheet" Target="/xl/worksheets/sheet30.xml" Id="Re69338a2c8624b79" /><Relationship Type="http://schemas.openxmlformats.org/officeDocument/2006/relationships/worksheet" Target="/xl/worksheets/sheet31.xml" Id="R0492066b95384965" /><Relationship Type="http://schemas.openxmlformats.org/officeDocument/2006/relationships/worksheet" Target="/xl/worksheets/sheet32.xml" Id="R2d6ef9a39b874ea8" /><Relationship Type="http://schemas.openxmlformats.org/officeDocument/2006/relationships/worksheet" Target="/xl/worksheets/sheet33.xml" Id="R2a47f4778aaa4779" /><Relationship Type="http://schemas.openxmlformats.org/officeDocument/2006/relationships/worksheet" Target="/xl/worksheets/sheet34.xml" Id="Rf21b6b78e48745b6" /><Relationship Type="http://schemas.openxmlformats.org/officeDocument/2006/relationships/worksheet" Target="/xl/worksheets/sheet35.xml" Id="R09eba020d3304f57" /><Relationship Type="http://schemas.openxmlformats.org/officeDocument/2006/relationships/worksheet" Target="/xl/worksheets/sheet36.xml" Id="Rfb1f4b5bf9404ae7" /><Relationship Type="http://schemas.openxmlformats.org/officeDocument/2006/relationships/worksheet" Target="/xl/worksheets/sheet37.xml" Id="Ra7188b09e00b4b5b" /><Relationship Type="http://schemas.openxmlformats.org/officeDocument/2006/relationships/worksheet" Target="/xl/worksheets/sheet38.xml" Id="R4396fcfbbea44351" /><Relationship Type="http://schemas.openxmlformats.org/officeDocument/2006/relationships/worksheet" Target="/xl/worksheets/sheet39.xml" Id="R8bbc66766e6e436a" /><Relationship Type="http://schemas.openxmlformats.org/officeDocument/2006/relationships/worksheet" Target="/xl/worksheets/sheet40.xml" Id="Rf0f3b7a29e654d1c" /><Relationship Type="http://schemas.openxmlformats.org/officeDocument/2006/relationships/worksheet" Target="/xl/worksheets/sheet41.xml" Id="R0a4558a9798a4f45" /><Relationship Type="http://schemas.openxmlformats.org/officeDocument/2006/relationships/worksheet" Target="/xl/worksheets/sheet42.xml" Id="Rcca52a39862f41bc" /><Relationship Type="http://schemas.openxmlformats.org/officeDocument/2006/relationships/worksheet" Target="/xl/worksheets/sheet43.xml" Id="Rf9936ba6e41e438c" /><Relationship Type="http://schemas.openxmlformats.org/officeDocument/2006/relationships/worksheet" Target="/xl/worksheets/sheet44.xml" Id="Rfaa227e6c6ae40d5" /><Relationship Type="http://schemas.openxmlformats.org/officeDocument/2006/relationships/worksheet" Target="/xl/worksheets/sheet45.xml" Id="R50d35763b0b14d61" /><Relationship Type="http://schemas.openxmlformats.org/officeDocument/2006/relationships/worksheet" Target="/xl/worksheets/sheet46.xml" Id="R668ed113d64747a7" /><Relationship Type="http://schemas.openxmlformats.org/officeDocument/2006/relationships/worksheet" Target="/xl/worksheets/sheet47.xml" Id="R7b7edfe1ea3c42df" /><Relationship Type="http://schemas.openxmlformats.org/officeDocument/2006/relationships/worksheet" Target="/xl/worksheets/sheet48.xml" Id="R545527fa785d4925" /><Relationship Type="http://schemas.openxmlformats.org/officeDocument/2006/relationships/worksheet" Target="/xl/worksheets/sheet49.xml" Id="R16fb89876d5e448f" /><Relationship Type="http://schemas.openxmlformats.org/officeDocument/2006/relationships/worksheet" Target="/xl/worksheets/sheet50.xml" Id="Rb66c1ffdafdd46eb" /><Relationship Type="http://schemas.openxmlformats.org/officeDocument/2006/relationships/worksheet" Target="/xl/worksheets/sheet51.xml" Id="Raca23b0b55384c78" /><Relationship Type="http://schemas.openxmlformats.org/officeDocument/2006/relationships/worksheet" Target="/xl/worksheets/sheet52.xml" Id="R83159334faf74e9d" /></Relationships>
</file>

<file path=xl/tables/table1.xml><?xml version="1.0" encoding="utf-8"?>
<x:table xmlns:x="http://schemas.openxmlformats.org/spreadsheetml/2006/main" id="1" name="RythernSource" displayName="RythernSource" ref="A5:E466" headerRowCount="1" totalsRowCount="0" totalsRowShown="0">
  <x:tableColumns count="5">
    <x:tableColumn id="1" name="Exact SKU"/>
    <x:tableColumn id="2" name="Source description"/>
    <x:tableColumn id="3" name="Raw DDP (USD)"/>
    <x:tableColumn id="4" name="Purchase cost (USD)"/>
    <x:tableColumn id="5" name="Source 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1.xml" Id="R70ff26031cfa47b4" /></Relationships>
</file>

<file path=xl/worksheets/sheet1.xml><?xml version="1.0" encoding="utf-8"?>
<x:worksheet xmlns:x="http://schemas.openxmlformats.org/spreadsheetml/2006/main">
  <x:sheetPr>
    <x:tabColor rgb="FF17253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13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  <x:col min="8" max="8" width="20" hidden="0" customWidth="1"/>
  </x:cols>
  <x:sheetData>
    <x:row r="1" ht="21" customHeight="1">
      <x:c r="A1" s="3" t="str">
        <x:v>VULPINE · Rythern purchase bid</x:v>
      </x:c>
      <x:c r="B1" s="2"/>
      <x:c r="C1" s="2"/>
      <x:c r="D1" s="2"/>
      <x:c r="E1" s="2"/>
      <x:c r="F1" s="2"/>
      <x:c r="G1" s="2"/>
      <x:c r="H1" s="2"/>
    </x:row>
    <x:row r="2" ht="21" customHeight="1">
      <x:c r="A2" s="2" t="str">
        <x:v>Project name</x:v>
      </x:c>
      <x:c r="B2" s="9" t="str"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DDP · SW / SG · Enter units and exact SKUs in the unit tabs. Amber cells are inputs.</x:v>
      </x:c>
      <x:c r="B3" s="2"/>
      <x:c r="C3" s="2"/>
      <x:c r="D3" s="2"/>
      <x:c r="E3" s="2"/>
      <x:c r="F3" s="2"/>
      <x:c r="G3" s="2"/>
      <x:c r="H3" s="2"/>
    </x:row>
    <x:row r="4" ht="21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Product / finish</x:v>
      </x:c>
      <x:c r="B5" s="6" t="str">
        <x:v>Unit type</x:v>
      </x:c>
      <x:c r="C5" s="6" t="str">
        <x:v>Units</x:v>
      </x:c>
      <x:c r="D5" s="6" t="str">
        <x:v>Cost per unit</x:v>
      </x:c>
      <x:c r="E5" s="6" t="str">
        <x:v>Project cost</x:v>
      </x:c>
      <x:c r="F5" s="6" t="str">
        <x:v>Check</x:v>
      </x:c>
      <x:c r="G5" s="2"/>
      <x:c r="H5" s="2"/>
    </x:row>
    <x:row r="6" ht="21" customHeight="1">
      <x:c r="A6" s="2" t="str">
        <x:f>IF('Unit Type'!B3=0,"","SW / SG")</x:f>
      </x:c>
      <x:c r="B6" s="2" t="str">
        <x:f>IF('Unit Type'!B1="","",'Unit Type'!B1)</x:f>
      </x:c>
      <x:c r="C6" s="2" t="n">
        <x:f>'Unit Type'!B3</x:f>
        <x:v>0</x:v>
      </x:c>
      <x:c r="D6" s="8" t="n">
        <x:f>'Unit Type'!G56</x:f>
        <x:v>0</x:v>
      </x:c>
      <x:c r="E6" s="8" t="n">
        <x:f>'Unit Type'!G57</x:f>
        <x:v>0</x:v>
      </x:c>
      <x:c r="F6" s="2" t="str">
        <x:f>IF(C6=0,"Excluded",IF(ISNUMBER(E6),"Review scope","Review quantities / SKU"))</x:f>
        <x:v>Excluded</x:v>
      </x:c>
      <x:c r="G6" s="2"/>
      <x:c r="H6" s="2"/>
    </x:row>
    <x:row r="7" ht="21" customHeight="1">
      <x:c r="A7" s="2" t="str">
        <x:f>IF('Unit Type (2)'!B3=0,"","SW / SG")</x:f>
      </x:c>
      <x:c r="B7" s="2" t="str">
        <x:f>IF('Unit Type (2)'!B1="","",'Unit Type (2)'!B1)</x:f>
      </x:c>
      <x:c r="C7" s="2" t="n">
        <x:f>'Unit Type (2)'!B3</x:f>
        <x:v>0</x:v>
      </x:c>
      <x:c r="D7" s="8" t="n">
        <x:f>'Unit Type (2)'!G56</x:f>
        <x:v>0</x:v>
      </x:c>
      <x:c r="E7" s="8" t="n">
        <x:f>'Unit Type (2)'!G57</x:f>
        <x:v>0</x:v>
      </x:c>
      <x:c r="F7" s="2" t="str">
        <x:f>IF(C7=0,"Excluded",IF(ISNUMBER(E7),"Review scope","Review quantities / SKU"))</x:f>
        <x:v>Excluded</x:v>
      </x:c>
      <x:c r="G7" s="2"/>
      <x:c r="H7" s="2"/>
    </x:row>
    <x:row r="8" ht="21" customHeight="1">
      <x:c r="A8" s="2" t="str">
        <x:f>IF('Unit Type (3)'!B3=0,"","SW / SG")</x:f>
      </x:c>
      <x:c r="B8" s="2" t="str">
        <x:f>IF('Unit Type (3)'!B1="","",'Unit Type (3)'!B1)</x:f>
      </x:c>
      <x:c r="C8" s="2" t="n">
        <x:f>'Unit Type (3)'!B3</x:f>
        <x:v>0</x:v>
      </x:c>
      <x:c r="D8" s="8" t="n">
        <x:f>'Unit Type (3)'!G56</x:f>
        <x:v>0</x:v>
      </x:c>
      <x:c r="E8" s="8" t="n">
        <x:f>'Unit Type (3)'!G57</x:f>
        <x:v>0</x:v>
      </x:c>
      <x:c r="F8" s="2" t="str">
        <x:f>IF(C8=0,"Excluded",IF(ISNUMBER(E8),"Review scope","Review quantities / SKU"))</x:f>
        <x:v>Excluded</x:v>
      </x:c>
      <x:c r="G8" s="2"/>
      <x:c r="H8" s="2"/>
    </x:row>
    <x:row r="9" ht="21" customHeight="1">
      <x:c r="A9" s="2" t="str">
        <x:f>IF('Unit Type (4)'!B3=0,"","SW / SG")</x:f>
      </x:c>
      <x:c r="B9" s="2" t="str">
        <x:f>IF('Unit Type (4)'!B1="","",'Unit Type (4)'!B1)</x:f>
      </x:c>
      <x:c r="C9" s="2" t="n">
        <x:f>'Unit Type (4)'!B3</x:f>
        <x:v>0</x:v>
      </x:c>
      <x:c r="D9" s="8" t="n">
        <x:f>'Unit Type (4)'!G56</x:f>
        <x:v>0</x:v>
      </x:c>
      <x:c r="E9" s="8" t="n">
        <x:f>'Unit Type (4)'!G57</x:f>
        <x:v>0</x:v>
      </x:c>
      <x:c r="F9" s="2" t="str">
        <x:f>IF(C9=0,"Excluded",IF(ISNUMBER(E9),"Review scope","Review quantities / SKU"))</x:f>
        <x:v>Excluded</x:v>
      </x:c>
      <x:c r="G9" s="2"/>
      <x:c r="H9" s="2"/>
    </x:row>
    <x:row r="10" ht="21" customHeight="1">
      <x:c r="A10" s="2" t="str">
        <x:f>IF('Unit Type (5)'!B3=0,"","SW / SG")</x:f>
      </x:c>
      <x:c r="B10" s="2" t="str">
        <x:f>IF('Unit Type (5)'!B1="","",'Unit Type (5)'!B1)</x:f>
      </x:c>
      <x:c r="C10" s="2" t="n">
        <x:f>'Unit Type (5)'!B3</x:f>
        <x:v>0</x:v>
      </x:c>
      <x:c r="D10" s="8" t="n">
        <x:f>'Unit Type (5)'!G56</x:f>
        <x:v>0</x:v>
      </x:c>
      <x:c r="E10" s="8" t="n">
        <x:f>'Unit Type (5)'!G57</x:f>
        <x:v>0</x:v>
      </x:c>
      <x:c r="F10" s="2" t="str">
        <x:f>IF(C10=0,"Excluded",IF(ISNUMBER(E10),"Review scope","Review quantities / SKU"))</x:f>
        <x:v>Excluded</x:v>
      </x:c>
      <x:c r="G10" s="2"/>
      <x:c r="H10" s="2"/>
    </x:row>
    <x:row r="11" ht="21" customHeight="1">
      <x:c r="A11" s="2" t="str">
        <x:f>IF('Unit Type (6)'!B3=0,"","SW / SG")</x:f>
      </x:c>
      <x:c r="B11" s="2" t="str">
        <x:f>IF('Unit Type (6)'!B1="","",'Unit Type (6)'!B1)</x:f>
      </x:c>
      <x:c r="C11" s="2" t="n">
        <x:f>'Unit Type (6)'!B3</x:f>
        <x:v>0</x:v>
      </x:c>
      <x:c r="D11" s="8" t="n">
        <x:f>'Unit Type (6)'!G56</x:f>
        <x:v>0</x:v>
      </x:c>
      <x:c r="E11" s="8" t="n">
        <x:f>'Unit Type (6)'!G57</x:f>
        <x:v>0</x:v>
      </x:c>
      <x:c r="F11" s="2" t="str">
        <x:f>IF(C11=0,"Excluded",IF(ISNUMBER(E11),"Review scope","Review quantities / SKU"))</x:f>
        <x:v>Excluded</x:v>
      </x:c>
      <x:c r="G11" s="2"/>
      <x:c r="H11" s="2"/>
    </x:row>
    <x:row r="12" ht="21" customHeight="1">
      <x:c r="A12" s="2" t="str">
        <x:f>IF('Unit Type (7)'!B3=0,"","SW / SG")</x:f>
      </x:c>
      <x:c r="B12" s="2" t="str">
        <x:f>IF('Unit Type (7)'!B1="","",'Unit Type (7)'!B1)</x:f>
      </x:c>
      <x:c r="C12" s="2" t="n">
        <x:f>'Unit Type (7)'!B3</x:f>
        <x:v>0</x:v>
      </x:c>
      <x:c r="D12" s="8" t="n">
        <x:f>'Unit Type (7)'!G56</x:f>
        <x:v>0</x:v>
      </x:c>
      <x:c r="E12" s="8" t="n">
        <x:f>'Unit Type (7)'!G57</x:f>
        <x:v>0</x:v>
      </x:c>
      <x:c r="F12" s="2" t="str">
        <x:f>IF(C12=0,"Excluded",IF(ISNUMBER(E12),"Review scope","Review quantities / SKU"))</x:f>
        <x:v>Excluded</x:v>
      </x:c>
      <x:c r="G12" s="2"/>
      <x:c r="H12" s="2"/>
    </x:row>
    <x:row r="13" ht="21" customHeight="1">
      <x:c r="A13" s="2" t="str">
        <x:f>IF('Unit Type (8)'!B3=0,"","SW / SG")</x:f>
      </x:c>
      <x:c r="B13" s="2" t="str">
        <x:f>IF('Unit Type (8)'!B1="","",'Unit Type (8)'!B1)</x:f>
      </x:c>
      <x:c r="C13" s="2" t="n">
        <x:f>'Unit Type (8)'!B3</x:f>
        <x:v>0</x:v>
      </x:c>
      <x:c r="D13" s="8" t="n">
        <x:f>'Unit Type (8)'!G56</x:f>
        <x:v>0</x:v>
      </x:c>
      <x:c r="E13" s="8" t="n">
        <x:f>'Unit Type (8)'!G57</x:f>
        <x:v>0</x:v>
      </x:c>
      <x:c r="F13" s="2" t="str">
        <x:f>IF(C13=0,"Excluded",IF(ISNUMBER(E13),"Review scope","Review quantities / SKU"))</x:f>
        <x:v>Excluded</x:v>
      </x:c>
      <x:c r="G13" s="2"/>
      <x:c r="H13" s="2"/>
    </x:row>
    <x:row r="14" ht="21" customHeight="1">
      <x:c r="A14" s="2" t="str">
        <x:f>IF('Unit Type (9)'!B3=0,"","SW / SG")</x:f>
      </x:c>
      <x:c r="B14" s="2" t="str">
        <x:f>IF('Unit Type (9)'!B1="","",'Unit Type (9)'!B1)</x:f>
      </x:c>
      <x:c r="C14" s="2" t="n">
        <x:f>'Unit Type (9)'!B3</x:f>
        <x:v>0</x:v>
      </x:c>
      <x:c r="D14" s="8" t="n">
        <x:f>'Unit Type (9)'!G56</x:f>
        <x:v>0</x:v>
      </x:c>
      <x:c r="E14" s="8" t="n">
        <x:f>'Unit Type (9)'!G57</x:f>
        <x:v>0</x:v>
      </x:c>
      <x:c r="F14" s="2" t="str">
        <x:f>IF(C14=0,"Excluded",IF(ISNUMBER(E14),"Review scope","Review quantities / SKU"))</x:f>
        <x:v>Excluded</x:v>
      </x:c>
      <x:c r="G14" s="2"/>
      <x:c r="H14" s="2"/>
    </x:row>
    <x:row r="15" ht="21" customHeight="1">
      <x:c r="A15" s="2" t="str">
        <x:f>IF('Unit Type (10)'!B3=0,"","SW / SG")</x:f>
      </x:c>
      <x:c r="B15" s="2" t="str">
        <x:f>IF('Unit Type (10)'!B1="","",'Unit Type (10)'!B1)</x:f>
      </x:c>
      <x:c r="C15" s="2" t="n">
        <x:f>'Unit Type (10)'!B3</x:f>
        <x:v>0</x:v>
      </x:c>
      <x:c r="D15" s="8" t="n">
        <x:f>'Unit Type (10)'!G56</x:f>
        <x:v>0</x:v>
      </x:c>
      <x:c r="E15" s="8" t="n">
        <x:f>'Unit Type (10)'!G57</x:f>
        <x:v>0</x:v>
      </x:c>
      <x:c r="F15" s="2" t="str">
        <x:f>IF(C15=0,"Excluded",IF(ISNUMBER(E15),"Review scope","Review quantities / SKU"))</x:f>
        <x:v>Excluded</x:v>
      </x:c>
      <x:c r="G15" s="2"/>
      <x:c r="H15" s="2"/>
    </x:row>
    <x:row r="16" ht="21" customHeight="1">
      <x:c r="A16" s="2" t="str">
        <x:f>IF('Unit Type (11)'!B3=0,"","SW / SG")</x:f>
      </x:c>
      <x:c r="B16" s="2" t="str">
        <x:f>IF('Unit Type (11)'!B1="","",'Unit Type (11)'!B1)</x:f>
      </x:c>
      <x:c r="C16" s="2" t="n">
        <x:f>'Unit Type (11)'!B3</x:f>
        <x:v>0</x:v>
      </x:c>
      <x:c r="D16" s="8" t="n">
        <x:f>'Unit Type (11)'!G56</x:f>
        <x:v>0</x:v>
      </x:c>
      <x:c r="E16" s="8" t="n">
        <x:f>'Unit Type (11)'!G57</x:f>
        <x:v>0</x:v>
      </x:c>
      <x:c r="F16" s="2" t="str">
        <x:f>IF(C16=0,"Excluded",IF(ISNUMBER(E16),"Review scope","Review quantities / SKU"))</x:f>
        <x:v>Excluded</x:v>
      </x:c>
      <x:c r="G16" s="2"/>
      <x:c r="H16" s="2"/>
    </x:row>
    <x:row r="17" ht="21" customHeight="1">
      <x:c r="A17" s="2" t="str">
        <x:f>IF('Unit Type (12)'!B3=0,"","SW / SG")</x:f>
      </x:c>
      <x:c r="B17" s="2" t="str">
        <x:f>IF('Unit Type (12)'!B1="","",'Unit Type (12)'!B1)</x:f>
      </x:c>
      <x:c r="C17" s="2" t="n">
        <x:f>'Unit Type (12)'!B3</x:f>
        <x:v>0</x:v>
      </x:c>
      <x:c r="D17" s="8" t="n">
        <x:f>'Unit Type (12)'!G56</x:f>
        <x:v>0</x:v>
      </x:c>
      <x:c r="E17" s="8" t="n">
        <x:f>'Unit Type (12)'!G57</x:f>
        <x:v>0</x:v>
      </x:c>
      <x:c r="F17" s="2" t="str">
        <x:f>IF(C17=0,"Excluded",IF(ISNUMBER(E17),"Review scope","Review quantities / SKU"))</x:f>
        <x:v>Excluded</x:v>
      </x:c>
      <x:c r="G17" s="2"/>
      <x:c r="H17" s="2"/>
    </x:row>
    <x:row r="18" ht="21" customHeight="1">
      <x:c r="A18" s="2" t="str">
        <x:f>IF('Unit Type (13)'!B3=0,"","SW / SG")</x:f>
      </x:c>
      <x:c r="B18" s="2" t="str">
        <x:f>IF('Unit Type (13)'!B1="","",'Unit Type (13)'!B1)</x:f>
      </x:c>
      <x:c r="C18" s="2" t="n">
        <x:f>'Unit Type (13)'!B3</x:f>
        <x:v>0</x:v>
      </x:c>
      <x:c r="D18" s="8" t="n">
        <x:f>'Unit Type (13)'!G56</x:f>
        <x:v>0</x:v>
      </x:c>
      <x:c r="E18" s="8" t="n">
        <x:f>'Unit Type (13)'!G57</x:f>
        <x:v>0</x:v>
      </x:c>
      <x:c r="F18" s="2" t="str">
        <x:f>IF(C18=0,"Excluded",IF(ISNUMBER(E18),"Review scope","Review quantities / SKU"))</x:f>
        <x:v>Excluded</x:v>
      </x:c>
      <x:c r="G18" s="2"/>
      <x:c r="H18" s="2"/>
    </x:row>
    <x:row r="19" ht="21" customHeight="1">
      <x:c r="A19" s="2" t="str">
        <x:f>IF('Unit Type (14)'!B3=0,"","SW / SG")</x:f>
      </x:c>
      <x:c r="B19" s="2" t="str">
        <x:f>IF('Unit Type (14)'!B1="","",'Unit Type (14)'!B1)</x:f>
      </x:c>
      <x:c r="C19" s="2" t="n">
        <x:f>'Unit Type (14)'!B3</x:f>
        <x:v>0</x:v>
      </x:c>
      <x:c r="D19" s="8" t="n">
        <x:f>'Unit Type (14)'!G56</x:f>
        <x:v>0</x:v>
      </x:c>
      <x:c r="E19" s="8" t="n">
        <x:f>'Unit Type (14)'!G57</x:f>
        <x:v>0</x:v>
      </x:c>
      <x:c r="F19" s="2" t="str">
        <x:f>IF(C19=0,"Excluded",IF(ISNUMBER(E19),"Review scope","Review quantities / SKU"))</x:f>
        <x:v>Excluded</x:v>
      </x:c>
      <x:c r="G19" s="2"/>
      <x:c r="H19" s="2"/>
    </x:row>
    <x:row r="20" ht="21" customHeight="1">
      <x:c r="A20" s="2" t="str">
        <x:f>IF('Unit Type (15)'!B3=0,"","SW / SG")</x:f>
      </x:c>
      <x:c r="B20" s="2" t="str">
        <x:f>IF('Unit Type (15)'!B1="","",'Unit Type (15)'!B1)</x:f>
      </x:c>
      <x:c r="C20" s="2" t="n">
        <x:f>'Unit Type (15)'!B3</x:f>
        <x:v>0</x:v>
      </x:c>
      <x:c r="D20" s="8" t="n">
        <x:f>'Unit Type (15)'!G56</x:f>
        <x:v>0</x:v>
      </x:c>
      <x:c r="E20" s="8" t="n">
        <x:f>'Unit Type (15)'!G57</x:f>
        <x:v>0</x:v>
      </x:c>
      <x:c r="F20" s="2" t="str">
        <x:f>IF(C20=0,"Excluded",IF(ISNUMBER(E20),"Review scope","Review quantities / SKU"))</x:f>
        <x:v>Excluded</x:v>
      </x:c>
      <x:c r="G20" s="2"/>
      <x:c r="H20" s="2"/>
    </x:row>
    <x:row r="21" ht="21" customHeight="1">
      <x:c r="A21" s="2" t="str">
        <x:f>IF('Unit Type (16)'!B3=0,"","SW / SG")</x:f>
      </x:c>
      <x:c r="B21" s="2" t="str">
        <x:f>IF('Unit Type (16)'!B1="","",'Unit Type (16)'!B1)</x:f>
      </x:c>
      <x:c r="C21" s="2" t="n">
        <x:f>'Unit Type (16)'!B3</x:f>
        <x:v>0</x:v>
      </x:c>
      <x:c r="D21" s="8" t="n">
        <x:f>'Unit Type (16)'!G56</x:f>
        <x:v>0</x:v>
      </x:c>
      <x:c r="E21" s="8" t="n">
        <x:f>'Unit Type (16)'!G57</x:f>
        <x:v>0</x:v>
      </x:c>
      <x:c r="F21" s="2" t="str">
        <x:f>IF(C21=0,"Excluded",IF(ISNUMBER(E21),"Review scope","Review quantities / SKU"))</x:f>
        <x:v>Excluded</x:v>
      </x:c>
      <x:c r="G21" s="2"/>
      <x:c r="H21" s="2"/>
    </x:row>
    <x:row r="22" ht="21" customHeight="1">
      <x:c r="A22" s="2" t="str">
        <x:f>IF('Unit Type (17)'!B3=0,"","SW / SG")</x:f>
      </x:c>
      <x:c r="B22" s="2" t="str">
        <x:f>IF('Unit Type (17)'!B1="","",'Unit Type (17)'!B1)</x:f>
      </x:c>
      <x:c r="C22" s="2" t="n">
        <x:f>'Unit Type (17)'!B3</x:f>
        <x:v>0</x:v>
      </x:c>
      <x:c r="D22" s="8" t="n">
        <x:f>'Unit Type (17)'!G56</x:f>
        <x:v>0</x:v>
      </x:c>
      <x:c r="E22" s="8" t="n">
        <x:f>'Unit Type (17)'!G57</x:f>
        <x:v>0</x:v>
      </x:c>
      <x:c r="F22" s="2" t="str">
        <x:f>IF(C22=0,"Excluded",IF(ISNUMBER(E22),"Review scope","Review quantities / SKU"))</x:f>
        <x:v>Excluded</x:v>
      </x:c>
      <x:c r="G22" s="2"/>
      <x:c r="H22" s="2"/>
    </x:row>
    <x:row r="23" ht="21" customHeight="1">
      <x:c r="A23" s="2" t="str">
        <x:f>IF('Unit Type (18)'!B3=0,"","SW / SG")</x:f>
      </x:c>
      <x:c r="B23" s="2" t="str">
        <x:f>IF('Unit Type (18)'!B1="","",'Unit Type (18)'!B1)</x:f>
      </x:c>
      <x:c r="C23" s="2" t="n">
        <x:f>'Unit Type (18)'!B3</x:f>
        <x:v>0</x:v>
      </x:c>
      <x:c r="D23" s="8" t="n">
        <x:f>'Unit Type (18)'!G56</x:f>
        <x:v>0</x:v>
      </x:c>
      <x:c r="E23" s="8" t="n">
        <x:f>'Unit Type (18)'!G57</x:f>
        <x:v>0</x:v>
      </x:c>
      <x:c r="F23" s="2" t="str">
        <x:f>IF(C23=0,"Excluded",IF(ISNUMBER(E23),"Review scope","Review quantities / SKU"))</x:f>
        <x:v>Excluded</x:v>
      </x:c>
      <x:c r="G23" s="2"/>
      <x:c r="H23" s="2"/>
    </x:row>
    <x:row r="24" ht="21" customHeight="1">
      <x:c r="A24" s="2" t="str">
        <x:f>IF('Unit Type (19)'!B3=0,"","SW / SG")</x:f>
      </x:c>
      <x:c r="B24" s="2" t="str">
        <x:f>IF('Unit Type (19)'!B1="","",'Unit Type (19)'!B1)</x:f>
      </x:c>
      <x:c r="C24" s="2" t="n">
        <x:f>'Unit Type (19)'!B3</x:f>
        <x:v>0</x:v>
      </x:c>
      <x:c r="D24" s="8" t="n">
        <x:f>'Unit Type (19)'!G56</x:f>
        <x:v>0</x:v>
      </x:c>
      <x:c r="E24" s="8" t="n">
        <x:f>'Unit Type (19)'!G57</x:f>
        <x:v>0</x:v>
      </x:c>
      <x:c r="F24" s="2" t="str">
        <x:f>IF(C24=0,"Excluded",IF(ISNUMBER(E24),"Review scope","Review quantities / SKU"))</x:f>
        <x:v>Excluded</x:v>
      </x:c>
      <x:c r="G24" s="2"/>
      <x:c r="H24" s="2"/>
    </x:row>
    <x:row r="25" ht="21" customHeight="1">
      <x:c r="A25" s="2" t="str">
        <x:f>IF('Unit Type (20)'!B3=0,"","SW / SG")</x:f>
      </x:c>
      <x:c r="B25" s="2" t="str">
        <x:f>IF('Unit Type (20)'!B1="","",'Unit Type (20)'!B1)</x:f>
      </x:c>
      <x:c r="C25" s="2" t="n">
        <x:f>'Unit Type (20)'!B3</x:f>
        <x:v>0</x:v>
      </x:c>
      <x:c r="D25" s="8" t="n">
        <x:f>'Unit Type (20)'!G56</x:f>
        <x:v>0</x:v>
      </x:c>
      <x:c r="E25" s="8" t="n">
        <x:f>'Unit Type (20)'!G57</x:f>
        <x:v>0</x:v>
      </x:c>
      <x:c r="F25" s="2" t="str">
        <x:f>IF(C25=0,"Excluded",IF(ISNUMBER(E25),"Review scope","Review quantities / SKU"))</x:f>
        <x:v>Excluded</x:v>
      </x:c>
      <x:c r="G25" s="2"/>
      <x:c r="H25" s="2"/>
    </x:row>
    <x:row r="26" ht="21" customHeight="1">
      <x:c r="A26" s="2" t="str">
        <x:f>IF('Unit Type (21)'!B3=0,"","SW / SG")</x:f>
      </x:c>
      <x:c r="B26" s="2" t="str">
        <x:f>IF('Unit Type (21)'!B1="","",'Unit Type (21)'!B1)</x:f>
      </x:c>
      <x:c r="C26" s="2" t="n">
        <x:f>'Unit Type (21)'!B3</x:f>
        <x:v>0</x:v>
      </x:c>
      <x:c r="D26" s="8" t="n">
        <x:f>'Unit Type (21)'!G56</x:f>
        <x:v>0</x:v>
      </x:c>
      <x:c r="E26" s="8" t="n">
        <x:f>'Unit Type (21)'!G57</x:f>
        <x:v>0</x:v>
      </x:c>
      <x:c r="F26" s="2" t="str">
        <x:f>IF(C26=0,"Excluded",IF(ISNUMBER(E26),"Review scope","Review quantities / SKU"))</x:f>
        <x:v>Excluded</x:v>
      </x:c>
      <x:c r="G26" s="2"/>
      <x:c r="H26" s="2"/>
    </x:row>
    <x:row r="27" ht="21" customHeight="1">
      <x:c r="A27" s="2" t="str">
        <x:f>IF('Unit Type (22)'!B3=0,"","SW / SG")</x:f>
      </x:c>
      <x:c r="B27" s="2" t="str">
        <x:f>IF('Unit Type (22)'!B1="","",'Unit Type (22)'!B1)</x:f>
      </x:c>
      <x:c r="C27" s="2" t="n">
        <x:f>'Unit Type (22)'!B3</x:f>
        <x:v>0</x:v>
      </x:c>
      <x:c r="D27" s="8" t="n">
        <x:f>'Unit Type (22)'!G56</x:f>
        <x:v>0</x:v>
      </x:c>
      <x:c r="E27" s="8" t="n">
        <x:f>'Unit Type (22)'!G57</x:f>
        <x:v>0</x:v>
      </x:c>
      <x:c r="F27" s="2" t="str">
        <x:f>IF(C27=0,"Excluded",IF(ISNUMBER(E27),"Review scope","Review quantities / SKU"))</x:f>
        <x:v>Excluded</x:v>
      </x:c>
      <x:c r="G27" s="2"/>
      <x:c r="H27" s="2"/>
    </x:row>
    <x:row r="28" ht="21" customHeight="1">
      <x:c r="A28" s="2" t="str">
        <x:f>IF('Unit Type (23)'!B3=0,"","SW / SG")</x:f>
      </x:c>
      <x:c r="B28" s="2" t="str">
        <x:f>IF('Unit Type (23)'!B1="","",'Unit Type (23)'!B1)</x:f>
      </x:c>
      <x:c r="C28" s="2" t="n">
        <x:f>'Unit Type (23)'!B3</x:f>
        <x:v>0</x:v>
      </x:c>
      <x:c r="D28" s="8" t="n">
        <x:f>'Unit Type (23)'!G56</x:f>
        <x:v>0</x:v>
      </x:c>
      <x:c r="E28" s="8" t="n">
        <x:f>'Unit Type (23)'!G57</x:f>
        <x:v>0</x:v>
      </x:c>
      <x:c r="F28" s="2" t="str">
        <x:f>IF(C28=0,"Excluded",IF(ISNUMBER(E28),"Review scope","Review quantities / SKU"))</x:f>
        <x:v>Excluded</x:v>
      </x:c>
      <x:c r="G28" s="2"/>
      <x:c r="H28" s="2"/>
    </x:row>
    <x:row r="29" ht="21" customHeight="1">
      <x:c r="A29" s="2" t="str">
        <x:f>IF('Unit Type (24)'!B3=0,"","SW / SG")</x:f>
      </x:c>
      <x:c r="B29" s="2" t="str">
        <x:f>IF('Unit Type (24)'!B1="","",'Unit Type (24)'!B1)</x:f>
      </x:c>
      <x:c r="C29" s="2" t="n">
        <x:f>'Unit Type (24)'!B3</x:f>
        <x:v>0</x:v>
      </x:c>
      <x:c r="D29" s="8" t="n">
        <x:f>'Unit Type (24)'!G56</x:f>
        <x:v>0</x:v>
      </x:c>
      <x:c r="E29" s="8" t="n">
        <x:f>'Unit Type (24)'!G57</x:f>
        <x:v>0</x:v>
      </x:c>
      <x:c r="F29" s="2" t="str">
        <x:f>IF(C29=0,"Excluded",IF(ISNUMBER(E29),"Review scope","Review quantities / SKU"))</x:f>
        <x:v>Excluded</x:v>
      </x:c>
      <x:c r="G29" s="2"/>
      <x:c r="H29" s="2"/>
    </x:row>
    <x:row r="30" ht="21" customHeight="1">
      <x:c r="A30" s="2" t="str">
        <x:f>IF('Unit Type (25)'!B3=0,"","SW / SG")</x:f>
      </x:c>
      <x:c r="B30" s="2" t="str">
        <x:f>IF('Unit Type (25)'!B1="","",'Unit Type (25)'!B1)</x:f>
      </x:c>
      <x:c r="C30" s="2" t="n">
        <x:f>'Unit Type (25)'!B3</x:f>
        <x:v>0</x:v>
      </x:c>
      <x:c r="D30" s="8" t="n">
        <x:f>'Unit Type (25)'!G56</x:f>
        <x:v>0</x:v>
      </x:c>
      <x:c r="E30" s="8" t="n">
        <x:f>'Unit Type (25)'!G57</x:f>
        <x:v>0</x:v>
      </x:c>
      <x:c r="F30" s="2" t="str">
        <x:f>IF(C30=0,"Excluded",IF(ISNUMBER(E30),"Review scope","Review quantities / SKU"))</x:f>
        <x:v>Excluded</x:v>
      </x:c>
      <x:c r="G30" s="2"/>
      <x:c r="H30" s="2"/>
    </x:row>
    <x:row r="31" ht="21" customHeight="1">
      <x:c r="A31" s="2" t="str">
        <x:f>IF('Unit Type (26)'!B3=0,"","SW / SG")</x:f>
      </x:c>
      <x:c r="B31" s="2" t="str">
        <x:f>IF('Unit Type (26)'!B1="","",'Unit Type (26)'!B1)</x:f>
      </x:c>
      <x:c r="C31" s="2" t="n">
        <x:f>'Unit Type (26)'!B3</x:f>
        <x:v>0</x:v>
      </x:c>
      <x:c r="D31" s="8" t="n">
        <x:f>'Unit Type (26)'!G56</x:f>
        <x:v>0</x:v>
      </x:c>
      <x:c r="E31" s="8" t="n">
        <x:f>'Unit Type (26)'!G57</x:f>
        <x:v>0</x:v>
      </x:c>
      <x:c r="F31" s="2" t="str">
        <x:f>IF(C31=0,"Excluded",IF(ISNUMBER(E31),"Review scope","Review quantities / SKU"))</x:f>
        <x:v>Excluded</x:v>
      </x:c>
      <x:c r="G31" s="2"/>
      <x:c r="H31" s="2"/>
    </x:row>
    <x:row r="32" ht="21" customHeight="1">
      <x:c r="A32" s="2" t="str">
        <x:f>IF('Unit Type (27)'!B3=0,"","SW / SG")</x:f>
      </x:c>
      <x:c r="B32" s="2" t="str">
        <x:f>IF('Unit Type (27)'!B1="","",'Unit Type (27)'!B1)</x:f>
      </x:c>
      <x:c r="C32" s="2" t="n">
        <x:f>'Unit Type (27)'!B3</x:f>
        <x:v>0</x:v>
      </x:c>
      <x:c r="D32" s="8" t="n">
        <x:f>'Unit Type (27)'!G56</x:f>
        <x:v>0</x:v>
      </x:c>
      <x:c r="E32" s="8" t="n">
        <x:f>'Unit Type (27)'!G57</x:f>
        <x:v>0</x:v>
      </x:c>
      <x:c r="F32" s="2" t="str">
        <x:f>IF(C32=0,"Excluded",IF(ISNUMBER(E32),"Review scope","Review quantities / SKU"))</x:f>
        <x:v>Excluded</x:v>
      </x:c>
      <x:c r="G32" s="2"/>
      <x:c r="H32" s="2"/>
    </x:row>
    <x:row r="33" ht="21" customHeight="1">
      <x:c r="A33" s="2" t="str">
        <x:f>IF('Unit Type (28)'!B3=0,"","SW / SG")</x:f>
      </x:c>
      <x:c r="B33" s="2" t="str">
        <x:f>IF('Unit Type (28)'!B1="","",'Unit Type (28)'!B1)</x:f>
      </x:c>
      <x:c r="C33" s="2" t="n">
        <x:f>'Unit Type (28)'!B3</x:f>
        <x:v>0</x:v>
      </x:c>
      <x:c r="D33" s="8" t="n">
        <x:f>'Unit Type (28)'!G56</x:f>
        <x:v>0</x:v>
      </x:c>
      <x:c r="E33" s="8" t="n">
        <x:f>'Unit Type (28)'!G57</x:f>
        <x:v>0</x:v>
      </x:c>
      <x:c r="F33" s="2" t="str">
        <x:f>IF(C33=0,"Excluded",IF(ISNUMBER(E33),"Review scope","Review quantities / SKU"))</x:f>
        <x:v>Excluded</x:v>
      </x:c>
      <x:c r="G33" s="2"/>
      <x:c r="H33" s="2"/>
    </x:row>
    <x:row r="34" ht="21" customHeight="1">
      <x:c r="A34" s="2" t="str">
        <x:f>IF('Unit Type (29)'!B3=0,"","SW / SG")</x:f>
      </x:c>
      <x:c r="B34" s="2" t="str">
        <x:f>IF('Unit Type (29)'!B1="","",'Unit Type (29)'!B1)</x:f>
      </x:c>
      <x:c r="C34" s="2" t="n">
        <x:f>'Unit Type (29)'!B3</x:f>
        <x:v>0</x:v>
      </x:c>
      <x:c r="D34" s="8" t="n">
        <x:f>'Unit Type (29)'!G56</x:f>
        <x:v>0</x:v>
      </x:c>
      <x:c r="E34" s="8" t="n">
        <x:f>'Unit Type (29)'!G57</x:f>
        <x:v>0</x:v>
      </x:c>
      <x:c r="F34" s="2" t="str">
        <x:f>IF(C34=0,"Excluded",IF(ISNUMBER(E34),"Review scope","Review quantities / SKU"))</x:f>
        <x:v>Excluded</x:v>
      </x:c>
      <x:c r="G34" s="2"/>
      <x:c r="H34" s="2"/>
    </x:row>
    <x:row r="35" ht="21" customHeight="1">
      <x:c r="A35" s="2" t="str">
        <x:f>IF('Unit Type (30)'!B3=0,"","SW / SG")</x:f>
      </x:c>
      <x:c r="B35" s="2" t="str">
        <x:f>IF('Unit Type (30)'!B1="","",'Unit Type (30)'!B1)</x:f>
      </x:c>
      <x:c r="C35" s="2" t="n">
        <x:f>'Unit Type (30)'!B3</x:f>
        <x:v>0</x:v>
      </x:c>
      <x:c r="D35" s="8" t="n">
        <x:f>'Unit Type (30)'!G56</x:f>
        <x:v>0</x:v>
      </x:c>
      <x:c r="E35" s="8" t="n">
        <x:f>'Unit Type (30)'!G57</x:f>
        <x:v>0</x:v>
      </x:c>
      <x:c r="F35" s="2" t="str">
        <x:f>IF(C35=0,"Excluded",IF(ISNUMBER(E35),"Review scope","Review quantities / SKU"))</x:f>
        <x:v>Excluded</x:v>
      </x:c>
      <x:c r="G35" s="2"/>
      <x:c r="H35" s="2"/>
    </x:row>
    <x:row r="36" ht="21" customHeight="1">
      <x:c r="A36" s="2" t="str">
        <x:f>IF('Unit Type (31)'!B3=0,"","SW / SG")</x:f>
      </x:c>
      <x:c r="B36" s="2" t="str">
        <x:f>IF('Unit Type (31)'!B1="","",'Unit Type (31)'!B1)</x:f>
      </x:c>
      <x:c r="C36" s="2" t="n">
        <x:f>'Unit Type (31)'!B3</x:f>
        <x:v>0</x:v>
      </x:c>
      <x:c r="D36" s="8" t="n">
        <x:f>'Unit Type (31)'!G56</x:f>
        <x:v>0</x:v>
      </x:c>
      <x:c r="E36" s="8" t="n">
        <x:f>'Unit Type (31)'!G57</x:f>
        <x:v>0</x:v>
      </x:c>
      <x:c r="F36" s="2" t="str">
        <x:f>IF(C36=0,"Excluded",IF(ISNUMBER(E36),"Review scope","Review quantities / SKU"))</x:f>
        <x:v>Excluded</x:v>
      </x:c>
      <x:c r="G36" s="2"/>
      <x:c r="H36" s="2"/>
    </x:row>
    <x:row r="37" ht="21" customHeight="1">
      <x:c r="A37" s="2" t="str">
        <x:f>IF('Unit Type (32)'!B3=0,"","SW / SG")</x:f>
      </x:c>
      <x:c r="B37" s="2" t="str">
        <x:f>IF('Unit Type (32)'!B1="","",'Unit Type (32)'!B1)</x:f>
      </x:c>
      <x:c r="C37" s="2" t="n">
        <x:f>'Unit Type (32)'!B3</x:f>
        <x:v>0</x:v>
      </x:c>
      <x:c r="D37" s="8" t="n">
        <x:f>'Unit Type (32)'!G56</x:f>
        <x:v>0</x:v>
      </x:c>
      <x:c r="E37" s="8" t="n">
        <x:f>'Unit Type (32)'!G57</x:f>
        <x:v>0</x:v>
      </x:c>
      <x:c r="F37" s="2" t="str">
        <x:f>IF(C37=0,"Excluded",IF(ISNUMBER(E37),"Review scope","Review quantities / SKU"))</x:f>
        <x:v>Excluded</x:v>
      </x:c>
      <x:c r="G37" s="2"/>
      <x:c r="H37" s="2"/>
    </x:row>
    <x:row r="38" ht="21" customHeight="1">
      <x:c r="A38" s="2" t="str">
        <x:f>IF('Unit Type (33)'!B3=0,"","SW / SG")</x:f>
      </x:c>
      <x:c r="B38" s="2" t="str">
        <x:f>IF('Unit Type (33)'!B1="","",'Unit Type (33)'!B1)</x:f>
      </x:c>
      <x:c r="C38" s="2" t="n">
        <x:f>'Unit Type (33)'!B3</x:f>
        <x:v>0</x:v>
      </x:c>
      <x:c r="D38" s="8" t="n">
        <x:f>'Unit Type (33)'!G56</x:f>
        <x:v>0</x:v>
      </x:c>
      <x:c r="E38" s="8" t="n">
        <x:f>'Unit Type (33)'!G57</x:f>
        <x:v>0</x:v>
      </x:c>
      <x:c r="F38" s="2" t="str">
        <x:f>IF(C38=0,"Excluded",IF(ISNUMBER(E38),"Review scope","Review quantities / SKU"))</x:f>
        <x:v>Excluded</x:v>
      </x:c>
      <x:c r="G38" s="2"/>
      <x:c r="H38" s="2"/>
    </x:row>
    <x:row r="39" ht="21" customHeight="1">
      <x:c r="A39" s="2" t="str">
        <x:f>IF('Unit Type (34)'!B3=0,"","SW / SG")</x:f>
      </x:c>
      <x:c r="B39" s="2" t="str">
        <x:f>IF('Unit Type (34)'!B1="","",'Unit Type (34)'!B1)</x:f>
      </x:c>
      <x:c r="C39" s="2" t="n">
        <x:f>'Unit Type (34)'!B3</x:f>
        <x:v>0</x:v>
      </x:c>
      <x:c r="D39" s="8" t="n">
        <x:f>'Unit Type (34)'!G56</x:f>
        <x:v>0</x:v>
      </x:c>
      <x:c r="E39" s="8" t="n">
        <x:f>'Unit Type (34)'!G57</x:f>
        <x:v>0</x:v>
      </x:c>
      <x:c r="F39" s="2" t="str">
        <x:f>IF(C39=0,"Excluded",IF(ISNUMBER(E39),"Review scope","Review quantities / SKU"))</x:f>
        <x:v>Excluded</x:v>
      </x:c>
      <x:c r="G39" s="2"/>
      <x:c r="H39" s="2"/>
    </x:row>
    <x:row r="40" ht="21" customHeight="1">
      <x:c r="A40" s="2" t="str">
        <x:f>IF('Unit Type (35)'!B3=0,"","SW / SG")</x:f>
      </x:c>
      <x:c r="B40" s="2" t="str">
        <x:f>IF('Unit Type (35)'!B1="","",'Unit Type (35)'!B1)</x:f>
      </x:c>
      <x:c r="C40" s="2" t="n">
        <x:f>'Unit Type (35)'!B3</x:f>
        <x:v>0</x:v>
      </x:c>
      <x:c r="D40" s="8" t="n">
        <x:f>'Unit Type (35)'!G56</x:f>
        <x:v>0</x:v>
      </x:c>
      <x:c r="E40" s="8" t="n">
        <x:f>'Unit Type (35)'!G57</x:f>
        <x:v>0</x:v>
      </x:c>
      <x:c r="F40" s="2" t="str">
        <x:f>IF(C40=0,"Excluded",IF(ISNUMBER(E40),"Review scope","Review quantities / SKU"))</x:f>
        <x:v>Excluded</x:v>
      </x:c>
      <x:c r="G40" s="2"/>
      <x:c r="H40" s="2"/>
    </x:row>
    <x:row r="41" ht="21" customHeight="1">
      <x:c r="A41" s="2" t="str">
        <x:f>IF('Unit Type (36)'!B3=0,"","SW / SG")</x:f>
      </x:c>
      <x:c r="B41" s="2" t="str">
        <x:f>IF('Unit Type (36)'!B1="","",'Unit Type (36)'!B1)</x:f>
      </x:c>
      <x:c r="C41" s="2" t="n">
        <x:f>'Unit Type (36)'!B3</x:f>
        <x:v>0</x:v>
      </x:c>
      <x:c r="D41" s="8" t="n">
        <x:f>'Unit Type (36)'!G56</x:f>
        <x:v>0</x:v>
      </x:c>
      <x:c r="E41" s="8" t="n">
        <x:f>'Unit Type (36)'!G57</x:f>
        <x:v>0</x:v>
      </x:c>
      <x:c r="F41" s="2" t="str">
        <x:f>IF(C41=0,"Excluded",IF(ISNUMBER(E41),"Review scope","Review quantities / SKU"))</x:f>
        <x:v>Excluded</x:v>
      </x:c>
      <x:c r="G41" s="2"/>
      <x:c r="H41" s="2"/>
    </x:row>
    <x:row r="42" ht="21" customHeight="1">
      <x:c r="A42" s="2" t="str">
        <x:f>IF('Unit Type (37)'!B3=0,"","SW / SG")</x:f>
      </x:c>
      <x:c r="B42" s="2" t="str">
        <x:f>IF('Unit Type (37)'!B1="","",'Unit Type (37)'!B1)</x:f>
      </x:c>
      <x:c r="C42" s="2" t="n">
        <x:f>'Unit Type (37)'!B3</x:f>
        <x:v>0</x:v>
      </x:c>
      <x:c r="D42" s="8" t="n">
        <x:f>'Unit Type (37)'!G56</x:f>
        <x:v>0</x:v>
      </x:c>
      <x:c r="E42" s="8" t="n">
        <x:f>'Unit Type (37)'!G57</x:f>
        <x:v>0</x:v>
      </x:c>
      <x:c r="F42" s="2" t="str">
        <x:f>IF(C42=0,"Excluded",IF(ISNUMBER(E42),"Review scope","Review quantities / SKU"))</x:f>
        <x:v>Excluded</x:v>
      </x:c>
      <x:c r="G42" s="2"/>
      <x:c r="H42" s="2"/>
    </x:row>
    <x:row r="43" ht="21" customHeight="1">
      <x:c r="A43" s="2" t="str">
        <x:f>IF('Unit Type (38)'!B3=0,"","SW / SG")</x:f>
      </x:c>
      <x:c r="B43" s="2" t="str">
        <x:f>IF('Unit Type (38)'!B1="","",'Unit Type (38)'!B1)</x:f>
      </x:c>
      <x:c r="C43" s="2" t="n">
        <x:f>'Unit Type (38)'!B3</x:f>
        <x:v>0</x:v>
      </x:c>
      <x:c r="D43" s="8" t="n">
        <x:f>'Unit Type (38)'!G56</x:f>
        <x:v>0</x:v>
      </x:c>
      <x:c r="E43" s="8" t="n">
        <x:f>'Unit Type (38)'!G57</x:f>
        <x:v>0</x:v>
      </x:c>
      <x:c r="F43" s="2" t="str">
        <x:f>IF(C43=0,"Excluded",IF(ISNUMBER(E43),"Review scope","Review quantities / SKU"))</x:f>
        <x:v>Excluded</x:v>
      </x:c>
      <x:c r="G43" s="2"/>
      <x:c r="H43" s="2"/>
    </x:row>
    <x:row r="44" ht="21" customHeight="1">
      <x:c r="A44" s="2" t="str">
        <x:f>IF('Unit Type (39)'!B3=0,"","SW / SG")</x:f>
      </x:c>
      <x:c r="B44" s="2" t="str">
        <x:f>IF('Unit Type (39)'!B1="","",'Unit Type (39)'!B1)</x:f>
      </x:c>
      <x:c r="C44" s="2" t="n">
        <x:f>'Unit Type (39)'!B3</x:f>
        <x:v>0</x:v>
      </x:c>
      <x:c r="D44" s="8" t="n">
        <x:f>'Unit Type (39)'!G56</x:f>
        <x:v>0</x:v>
      </x:c>
      <x:c r="E44" s="8" t="n">
        <x:f>'Unit Type (39)'!G57</x:f>
        <x:v>0</x:v>
      </x:c>
      <x:c r="F44" s="2" t="str">
        <x:f>IF(C44=0,"Excluded",IF(ISNUMBER(E44),"Review scope","Review quantities / SKU"))</x:f>
        <x:v>Excluded</x:v>
      </x:c>
      <x:c r="G44" s="2"/>
      <x:c r="H44" s="2"/>
    </x:row>
    <x:row r="45" ht="21" customHeight="1">
      <x:c r="A45" s="2" t="str">
        <x:f>IF('Unit Type (40)'!B3=0,"","SW / SG")</x:f>
      </x:c>
      <x:c r="B45" s="2" t="str">
        <x:f>IF('Unit Type (40)'!B1="","",'Unit Type (40)'!B1)</x:f>
      </x:c>
      <x:c r="C45" s="2" t="n">
        <x:f>'Unit Type (40)'!B3</x:f>
        <x:v>0</x:v>
      </x:c>
      <x:c r="D45" s="8" t="n">
        <x:f>'Unit Type (40)'!G56</x:f>
        <x:v>0</x:v>
      </x:c>
      <x:c r="E45" s="8" t="n">
        <x:f>'Unit Type (40)'!G57</x:f>
        <x:v>0</x:v>
      </x:c>
      <x:c r="F45" s="2" t="str">
        <x:f>IF(C45=0,"Excluded",IF(ISNUMBER(E45),"Review scope","Review quantities / SKU"))</x:f>
        <x:v>Excluded</x:v>
      </x:c>
      <x:c r="G45" s="2"/>
      <x:c r="H45" s="2"/>
    </x:row>
    <x:row r="46" ht="21" customHeight="1">
      <x:c r="A46" s="2" t="str">
        <x:f>IF('Unit Type (41)'!B3=0,"","SW / SG")</x:f>
      </x:c>
      <x:c r="B46" s="2" t="str">
        <x:f>IF('Unit Type (41)'!B1="","",'Unit Type (41)'!B1)</x:f>
      </x:c>
      <x:c r="C46" s="2" t="n">
        <x:f>'Unit Type (41)'!B3</x:f>
        <x:v>0</x:v>
      </x:c>
      <x:c r="D46" s="8" t="n">
        <x:f>'Unit Type (41)'!G56</x:f>
        <x:v>0</x:v>
      </x:c>
      <x:c r="E46" s="8" t="n">
        <x:f>'Unit Type (41)'!G57</x:f>
        <x:v>0</x:v>
      </x:c>
      <x:c r="F46" s="2" t="str">
        <x:f>IF(C46=0,"Excluded",IF(ISNUMBER(E46),"Review scope","Review quantities / SKU"))</x:f>
        <x:v>Excluded</x:v>
      </x:c>
      <x:c r="G46" s="2"/>
      <x:c r="H46" s="2"/>
    </x:row>
    <x:row r="47" ht="21" customHeight="1">
      <x:c r="A47" s="2" t="str">
        <x:f>IF('Unit Type (42)'!B3=0,"","SW / SG")</x:f>
      </x:c>
      <x:c r="B47" s="2" t="str">
        <x:f>IF('Unit Type (42)'!B1="","",'Unit Type (42)'!B1)</x:f>
      </x:c>
      <x:c r="C47" s="2" t="n">
        <x:f>'Unit Type (42)'!B3</x:f>
        <x:v>0</x:v>
      </x:c>
      <x:c r="D47" s="8" t="n">
        <x:f>'Unit Type (42)'!G56</x:f>
        <x:v>0</x:v>
      </x:c>
      <x:c r="E47" s="8" t="n">
        <x:f>'Unit Type (42)'!G57</x:f>
        <x:v>0</x:v>
      </x:c>
      <x:c r="F47" s="2" t="str">
        <x:f>IF(C47=0,"Excluded",IF(ISNUMBER(E47),"Review scope","Review quantities / SKU"))</x:f>
        <x:v>Excluded</x:v>
      </x:c>
      <x:c r="G47" s="2"/>
      <x:c r="H47" s="2"/>
    </x:row>
    <x:row r="48" ht="21" customHeight="1">
      <x:c r="A48" s="2" t="str">
        <x:f>IF('Unit Type (43)'!B3=0,"","SW / SG")</x:f>
      </x:c>
      <x:c r="B48" s="2" t="str">
        <x:f>IF('Unit Type (43)'!B1="","",'Unit Type (43)'!B1)</x:f>
      </x:c>
      <x:c r="C48" s="2" t="n">
        <x:f>'Unit Type (43)'!B3</x:f>
        <x:v>0</x:v>
      </x:c>
      <x:c r="D48" s="8" t="n">
        <x:f>'Unit Type (43)'!G56</x:f>
        <x:v>0</x:v>
      </x:c>
      <x:c r="E48" s="8" t="n">
        <x:f>'Unit Type (43)'!G57</x:f>
        <x:v>0</x:v>
      </x:c>
      <x:c r="F48" s="2" t="str">
        <x:f>IF(C48=0,"Excluded",IF(ISNUMBER(E48),"Review scope","Review quantities / SKU"))</x:f>
        <x:v>Excluded</x:v>
      </x:c>
      <x:c r="G48" s="2"/>
      <x:c r="H48" s="2"/>
    </x:row>
    <x:row r="49" ht="21" customHeight="1">
      <x:c r="A49" s="2" t="str">
        <x:f>IF('Unit Type (44)'!B3=0,"","SW / SG")</x:f>
      </x:c>
      <x:c r="B49" s="2" t="str">
        <x:f>IF('Unit Type (44)'!B1="","",'Unit Type (44)'!B1)</x:f>
      </x:c>
      <x:c r="C49" s="2" t="n">
        <x:f>'Unit Type (44)'!B3</x:f>
        <x:v>0</x:v>
      </x:c>
      <x:c r="D49" s="8" t="n">
        <x:f>'Unit Type (44)'!G56</x:f>
        <x:v>0</x:v>
      </x:c>
      <x:c r="E49" s="8" t="n">
        <x:f>'Unit Type (44)'!G57</x:f>
        <x:v>0</x:v>
      </x:c>
      <x:c r="F49" s="2" t="str">
        <x:f>IF(C49=0,"Excluded",IF(ISNUMBER(E49),"Review scope","Review quantities / SKU"))</x:f>
        <x:v>Excluded</x:v>
      </x:c>
      <x:c r="G49" s="2"/>
      <x:c r="H49" s="2"/>
    </x:row>
    <x:row r="50" ht="21" customHeight="1">
      <x:c r="A50" s="2" t="str">
        <x:f>IF('Unit Type (45)'!B3=0,"","SW / SG")</x:f>
      </x:c>
      <x:c r="B50" s="2" t="str">
        <x:f>IF('Unit Type (45)'!B1="","",'Unit Type (45)'!B1)</x:f>
      </x:c>
      <x:c r="C50" s="2" t="n">
        <x:f>'Unit Type (45)'!B3</x:f>
        <x:v>0</x:v>
      </x:c>
      <x:c r="D50" s="8" t="n">
        <x:f>'Unit Type (45)'!G56</x:f>
        <x:v>0</x:v>
      </x:c>
      <x:c r="E50" s="8" t="n">
        <x:f>'Unit Type (45)'!G57</x:f>
        <x:v>0</x:v>
      </x:c>
      <x:c r="F50" s="2" t="str">
        <x:f>IF(C50=0,"Excluded",IF(ISNUMBER(E50),"Review scope","Review quantities / SKU"))</x:f>
        <x:v>Excluded</x:v>
      </x:c>
      <x:c r="G50" s="2"/>
      <x:c r="H50" s="2"/>
    </x:row>
    <x:row r="51" ht="21" customHeight="1">
      <x:c r="A51" s="2" t="str">
        <x:f>IF('Unit Type (46)'!B3=0,"","SW / SG")</x:f>
      </x:c>
      <x:c r="B51" s="2" t="str">
        <x:f>IF('Unit Type (46)'!B1="","",'Unit Type (46)'!B1)</x:f>
      </x:c>
      <x:c r="C51" s="2" t="n">
        <x:f>'Unit Type (46)'!B3</x:f>
        <x:v>0</x:v>
      </x:c>
      <x:c r="D51" s="8" t="n">
        <x:f>'Unit Type (46)'!G56</x:f>
        <x:v>0</x:v>
      </x:c>
      <x:c r="E51" s="8" t="n">
        <x:f>'Unit Type (46)'!G57</x:f>
        <x:v>0</x:v>
      </x:c>
      <x:c r="F51" s="2" t="str">
        <x:f>IF(C51=0,"Excluded",IF(ISNUMBER(E51),"Review scope","Review quantities / SKU"))</x:f>
        <x:v>Excluded</x:v>
      </x:c>
      <x:c r="G51" s="2"/>
      <x:c r="H51" s="2"/>
    </x:row>
    <x:row r="52" ht="21" customHeight="1">
      <x:c r="A52" s="2" t="str">
        <x:f>IF('Unit Type (47)'!B3=0,"","SW / SG")</x:f>
      </x:c>
      <x:c r="B52" s="2" t="str">
        <x:f>IF('Unit Type (47)'!B1="","",'Unit Type (47)'!B1)</x:f>
      </x:c>
      <x:c r="C52" s="2" t="n">
        <x:f>'Unit Type (47)'!B3</x:f>
        <x:v>0</x:v>
      </x:c>
      <x:c r="D52" s="8" t="n">
        <x:f>'Unit Type (47)'!G56</x:f>
        <x:v>0</x:v>
      </x:c>
      <x:c r="E52" s="8" t="n">
        <x:f>'Unit Type (47)'!G57</x:f>
        <x:v>0</x:v>
      </x:c>
      <x:c r="F52" s="2" t="str">
        <x:f>IF(C52=0,"Excluded",IF(ISNUMBER(E52),"Review scope","Review quantities / SKU"))</x:f>
        <x:v>Excluded</x:v>
      </x:c>
      <x:c r="G52" s="2"/>
      <x:c r="H52" s="2"/>
    </x:row>
    <x:row r="53" ht="21" customHeight="1">
      <x:c r="A53" s="2" t="str">
        <x:f>IF('Unit Type (48)'!B3=0,"","SW / SG")</x:f>
      </x:c>
      <x:c r="B53" s="2" t="str">
        <x:f>IF('Unit Type (48)'!B1="","",'Unit Type (48)'!B1)</x:f>
      </x:c>
      <x:c r="C53" s="2" t="n">
        <x:f>'Unit Type (48)'!B3</x:f>
        <x:v>0</x:v>
      </x:c>
      <x:c r="D53" s="8" t="n">
        <x:f>'Unit Type (48)'!G56</x:f>
        <x:v>0</x:v>
      </x:c>
      <x:c r="E53" s="8" t="n">
        <x:f>'Unit Type (48)'!G57</x:f>
        <x:v>0</x:v>
      </x:c>
      <x:c r="F53" s="2" t="str">
        <x:f>IF(C53=0,"Excluded",IF(ISNUMBER(E53),"Review scope","Review quantities / SKU"))</x:f>
        <x:v>Excluded</x:v>
      </x:c>
      <x:c r="G53" s="2"/>
      <x:c r="H53" s="2"/>
    </x:row>
    <x:row r="54" ht="21" customHeight="1">
      <x:c r="A54" s="2" t="str">
        <x:f>IF('Unit Type (49)'!B3=0,"","SW / SG")</x:f>
      </x:c>
      <x:c r="B54" s="2" t="str">
        <x:f>IF('Unit Type (49)'!B1="","",'Unit Type (49)'!B1)</x:f>
      </x:c>
      <x:c r="C54" s="2" t="n">
        <x:f>'Unit Type (49)'!B3</x:f>
        <x:v>0</x:v>
      </x:c>
      <x:c r="D54" s="8" t="n">
        <x:f>'Unit Type (49)'!G56</x:f>
        <x:v>0</x:v>
      </x:c>
      <x:c r="E54" s="8" t="n">
        <x:f>'Unit Type (49)'!G57</x:f>
        <x:v>0</x:v>
      </x:c>
      <x:c r="F54" s="2" t="str">
        <x:f>IF(C54=0,"Excluded",IF(ISNUMBER(E54),"Review scope","Review quantities / SKU"))</x:f>
        <x:v>Excluded</x:v>
      </x:c>
      <x:c r="G54" s="2"/>
      <x:c r="H54" s="2"/>
    </x:row>
    <x:row r="55" ht="21" customHeight="1">
      <x:c r="A55" s="2" t="str">
        <x:f>IF('Unit Type (50)'!B3=0,"","SW / SG")</x:f>
      </x:c>
      <x:c r="B55" s="2" t="str">
        <x:f>IF('Unit Type (50)'!B1="","",'Unit Type (50)'!B1)</x:f>
      </x:c>
      <x:c r="C55" s="2" t="n">
        <x:f>'Unit Type (50)'!B3</x:f>
        <x:v>0</x:v>
      </x:c>
      <x:c r="D55" s="8" t="n">
        <x:f>'Unit Type (50)'!G56</x:f>
        <x:v>0</x:v>
      </x:c>
      <x:c r="E55" s="8" t="n">
        <x:f>'Unit Type (50)'!G57</x:f>
        <x:v>0</x:v>
      </x:c>
      <x:c r="F55" s="2" t="str">
        <x:f>IF(C55=0,"Excluded",IF(ISNUMBER(E55),"Review scope","Review quantities / SKU"))</x:f>
        <x:v>Excluded</x:v>
      </x:c>
      <x:c r="G55" s="2"/>
      <x:c r="H55" s="2"/>
    </x:row>
    <x:row r="56" ht="21" customHeight="1">
      <x:c r="A56" s="2"/>
      <x:c r="B56" s="11" t="str">
        <x:v>TOTAL</x:v>
      </x:c>
      <x:c r="C56" s="11" t="n">
        <x:f>SUM(C6:C55)</x:f>
        <x:v>0</x:v>
      </x:c>
      <x:c r="D56" s="10"/>
      <x:c r="E56" s="10" t="n">
        <x:f>SUM(E6:E55)</x:f>
        <x:v>0</x:v>
      </x:c>
      <x:c r="F56" s="11"/>
      <x:c r="G56" s="2"/>
      <x:c r="H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</x:row>
    <x:row r="58">
      <x:c r="A58" t="str">
        <x:v>Cabinet and hardware counts: not supplied in the Rythern price sheet.</x:v>
      </x:c>
    </x:row>
    <x:row r="59">
      <x:c r="A59" t="str">
        <x:v>No automatic toe kicks. Verify required components and full job scope before sending a bid.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0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1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2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3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4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5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6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7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8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9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10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11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12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13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14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15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16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17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18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19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20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21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22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23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24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25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26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27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28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29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30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31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32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33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34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35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36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37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38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39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40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41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42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43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44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45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46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47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48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2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2" t="str">
        <x:v>Unit name</x:v>
      </x:c>
      <x:c r="B1" s="9" t="str"/>
      <x:c r="C1" s="2"/>
      <x:c r="D1" s="2"/>
      <x:c r="E1" s="2"/>
      <x:c r="F1" s="2"/>
      <x:c r="G1" s="2"/>
      <x:c r="H1" s="2"/>
    </x:row>
    <x:row r="2" ht="21" customHeight="1">
      <x:c r="A2" s="2" t="str">
        <x:v>Project</x:v>
      </x:c>
      <x:c r="B2" s="2" t="str">
        <x:f>'Summary Sheet'!B2</x:f>
        <x:v>Enter project name</x:v>
      </x:c>
      <x:c r="C2" s="2"/>
      <x:c r="D2" s="2"/>
      <x:c r="E2" s="2"/>
      <x:c r="F2" s="2"/>
      <x:c r="G2" s="2"/>
      <x:c r="H2" s="2"/>
    </x:row>
    <x:row r="3" ht="21" customHeight="1">
      <x:c r="A3" s="2" t="str">
        <x:v>Units</x:v>
      </x:c>
      <x:c r="B3" s="9" t="n">
        <x:v>0</x:v>
      </x:c>
      <x:c r="C3" s="2"/>
      <x:c r="D3" s="2"/>
      <x:c r="E3" s="2"/>
      <x:c r="F3" s="2"/>
      <x:c r="G3" s="2"/>
      <x:c r="H3" s="2"/>
    </x:row>
    <x:row r="4" ht="21" customHeight="1">
      <x:c r="A4" s="2" t="str">
        <x:v>Rythern DDP. Add trim manually; dimensions and hardware counts are not supplied.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Item</x:v>
      </x:c>
      <x:c r="B5" s="6" t="str">
        <x:v>Exact SKU</x:v>
      </x:c>
      <x:c r="C5" s="6" t="str">
        <x:v>Qty per unit</x:v>
      </x:c>
      <x:c r="D5" s="6" t="str">
        <x:v>Description</x:v>
      </x:c>
      <x:c r="E5" s="6" t="str">
        <x:v>Finish</x:v>
      </x:c>
      <x:c r="F5" s="6" t="str">
        <x:v>Unit cost</x:v>
      </x:c>
      <x:c r="G5" s="6" t="str">
        <x:v>Line total</x:v>
      </x:c>
      <x:c r="H5" s="6" t="str">
        <x:v>Check</x:v>
      </x:c>
    </x:row>
    <x:row r="6" ht="21" customHeight="1">
      <x:c r="A6" s="2" t="n">
        <x:v>1</x:v>
      </x:c>
      <x:c r="B6" s="9"/>
      <x:c r="C6" s="9"/>
      <x:c r="D6" s="2" t="str">
        <x:f>IF(B6="","",VLOOKUP(B6,'Rythern Catalog'!$A$6:$D$466,2,FALSE))</x:f>
      </x:c>
      <x:c r="E6" s="2" t="str">
        <x:f>IF(B6="","","SW / SG")</x:f>
      </x:c>
      <x:c r="F6" s="8" t="str">
        <x:f>IF(B6="","",VLOOKUP(B6,'Rythern Catalog'!$A$6:$D$466,4,FALSE))</x:f>
      </x:c>
      <x:c r="G6" s="8" t="str">
        <x:f>IF(B6="","",IF(AND(ISNUMBER(C6),C6&gt;=0,C6&lt;=100000,C6=INT(C6)),ROUND(C6*F6,2),NA()))</x:f>
      </x:c>
      <x:c r="H6" s="2" t="str">
        <x:f>IF(B6="",IF(C6="","","Review"),IF(AND(ISNUMBER(F6),ISNUMBER(C6),C6&gt;=0,C6&lt;=100000,C6=INT(C6)),"","Review"))</x:f>
      </x:c>
    </x:row>
    <x:row r="7" ht="21" customHeight="1">
      <x:c r="A7" s="2" t="n">
        <x:v>2</x:v>
      </x:c>
      <x:c r="B7" s="9"/>
      <x:c r="C7" s="9"/>
      <x:c r="D7" s="2" t="str">
        <x:f>IF(B7="","",VLOOKUP(B7,'Rythern Catalog'!$A$6:$D$466,2,FALSE))</x:f>
      </x:c>
      <x:c r="E7" s="2" t="str">
        <x:f>IF(B7="","","SW / SG")</x:f>
      </x:c>
      <x:c r="F7" s="8" t="str">
        <x:f>IF(B7="","",VLOOKUP(B7,'Rythern Catalog'!$A$6:$D$466,4,FALSE))</x:f>
      </x:c>
      <x:c r="G7" s="8" t="str">
        <x:f>IF(B7="","",IF(AND(ISNUMBER(C7),C7&gt;=0,C7&lt;=100000,C7=INT(C7)),ROUND(C7*F7,2),NA()))</x:f>
      </x:c>
      <x:c r="H7" s="2" t="str">
        <x:f>IF(B7="",IF(C7="","","Review"),IF(AND(ISNUMBER(F7),ISNUMBER(C7),C7&gt;=0,C7&lt;=100000,C7=INT(C7)),"","Review"))</x:f>
      </x:c>
    </x:row>
    <x:row r="8" ht="21" customHeight="1">
      <x:c r="A8" s="2" t="n">
        <x:v>3</x:v>
      </x:c>
      <x:c r="B8" s="9"/>
      <x:c r="C8" s="9"/>
      <x:c r="D8" s="2" t="str">
        <x:f>IF(B8="","",VLOOKUP(B8,'Rythern Catalog'!$A$6:$D$466,2,FALSE))</x:f>
      </x:c>
      <x:c r="E8" s="2" t="str">
        <x:f>IF(B8="","","SW / SG")</x:f>
      </x:c>
      <x:c r="F8" s="8" t="str">
        <x:f>IF(B8="","",VLOOKUP(B8,'Rythern Catalog'!$A$6:$D$466,4,FALSE))</x:f>
      </x:c>
      <x:c r="G8" s="8" t="str">
        <x:f>IF(B8="","",IF(AND(ISNUMBER(C8),C8&gt;=0,C8&lt;=100000,C8=INT(C8)),ROUND(C8*F8,2),NA()))</x:f>
      </x:c>
      <x:c r="H8" s="2" t="str">
        <x:f>IF(B8="",IF(C8="","","Review"),IF(AND(ISNUMBER(F8),ISNUMBER(C8),C8&gt;=0,C8&lt;=100000,C8=INT(C8)),"","Review"))</x:f>
      </x:c>
    </x:row>
    <x:row r="9" ht="21" customHeight="1">
      <x:c r="A9" s="2" t="n">
        <x:v>4</x:v>
      </x:c>
      <x:c r="B9" s="9"/>
      <x:c r="C9" s="9"/>
      <x:c r="D9" s="2" t="str">
        <x:f>IF(B9="","",VLOOKUP(B9,'Rythern Catalog'!$A$6:$D$466,2,FALSE))</x:f>
      </x:c>
      <x:c r="E9" s="2" t="str">
        <x:f>IF(B9="","","SW / SG")</x:f>
      </x:c>
      <x:c r="F9" s="8" t="str">
        <x:f>IF(B9="","",VLOOKUP(B9,'Rythern Catalog'!$A$6:$D$466,4,FALSE))</x:f>
      </x:c>
      <x:c r="G9" s="8" t="str">
        <x:f>IF(B9="","",IF(AND(ISNUMBER(C9),C9&gt;=0,C9&lt;=100000,C9=INT(C9)),ROUND(C9*F9,2),NA()))</x:f>
      </x:c>
      <x:c r="H9" s="2" t="str">
        <x:f>IF(B9="",IF(C9="","","Review"),IF(AND(ISNUMBER(F9),ISNUMBER(C9),C9&gt;=0,C9&lt;=100000,C9=INT(C9)),"","Review"))</x:f>
      </x:c>
    </x:row>
    <x:row r="10" ht="21" customHeight="1">
      <x:c r="A10" s="2" t="n">
        <x:v>5</x:v>
      </x:c>
      <x:c r="B10" s="9"/>
      <x:c r="C10" s="9"/>
      <x:c r="D10" s="2" t="str">
        <x:f>IF(B10="","",VLOOKUP(B10,'Rythern Catalog'!$A$6:$D$466,2,FALSE))</x:f>
      </x:c>
      <x:c r="E10" s="2" t="str">
        <x:f>IF(B10="","","SW / SG")</x:f>
      </x:c>
      <x:c r="F10" s="8" t="str">
        <x:f>IF(B10="","",VLOOKUP(B10,'Rythern Catalog'!$A$6:$D$466,4,FALSE))</x:f>
      </x:c>
      <x:c r="G10" s="8" t="str">
        <x:f>IF(B10="","",IF(AND(ISNUMBER(C10),C10&gt;=0,C10&lt;=100000,C10=INT(C10)),ROUND(C10*F10,2),NA()))</x:f>
      </x:c>
      <x:c r="H10" s="2" t="str">
        <x:f>IF(B10="",IF(C10="","","Review"),IF(AND(ISNUMBER(F10),ISNUMBER(C10),C10&gt;=0,C10&lt;=100000,C10=INT(C10)),"","Review"))</x:f>
      </x:c>
    </x:row>
    <x:row r="11" ht="21" customHeight="1">
      <x:c r="A11" s="2" t="n">
        <x:v>6</x:v>
      </x:c>
      <x:c r="B11" s="9"/>
      <x:c r="C11" s="9"/>
      <x:c r="D11" s="2" t="str">
        <x:f>IF(B11="","",VLOOKUP(B11,'Rythern Catalog'!$A$6:$D$466,2,FALSE))</x:f>
      </x:c>
      <x:c r="E11" s="2" t="str">
        <x:f>IF(B11="","","SW / SG")</x:f>
      </x:c>
      <x:c r="F11" s="8" t="str">
        <x:f>IF(B11="","",VLOOKUP(B11,'Rythern Catalog'!$A$6:$D$466,4,FALSE))</x:f>
      </x:c>
      <x:c r="G11" s="8" t="str">
        <x:f>IF(B11="","",IF(AND(ISNUMBER(C11),C11&gt;=0,C11&lt;=100000,C11=INT(C11)),ROUND(C11*F11,2),NA()))</x:f>
      </x:c>
      <x:c r="H11" s="2" t="str">
        <x:f>IF(B11="",IF(C11="","","Review"),IF(AND(ISNUMBER(F11),ISNUMBER(C11),C11&gt;=0,C11&lt;=100000,C11=INT(C11)),"","Review"))</x:f>
      </x:c>
    </x:row>
    <x:row r="12" ht="21" customHeight="1">
      <x:c r="A12" s="2" t="n">
        <x:v>7</x:v>
      </x:c>
      <x:c r="B12" s="9"/>
      <x:c r="C12" s="9"/>
      <x:c r="D12" s="2" t="str">
        <x:f>IF(B12="","",VLOOKUP(B12,'Rythern Catalog'!$A$6:$D$466,2,FALSE))</x:f>
      </x:c>
      <x:c r="E12" s="2" t="str">
        <x:f>IF(B12="","","SW / SG")</x:f>
      </x:c>
      <x:c r="F12" s="8" t="str">
        <x:f>IF(B12="","",VLOOKUP(B12,'Rythern Catalog'!$A$6:$D$466,4,FALSE))</x:f>
      </x:c>
      <x:c r="G12" s="8" t="str">
        <x:f>IF(B12="","",IF(AND(ISNUMBER(C12),C12&gt;=0,C12&lt;=100000,C12=INT(C12)),ROUND(C12*F12,2),NA()))</x:f>
      </x:c>
      <x:c r="H12" s="2" t="str">
        <x:f>IF(B12="",IF(C12="","","Review"),IF(AND(ISNUMBER(F12),ISNUMBER(C12),C12&gt;=0,C12&lt;=100000,C12=INT(C12)),"","Review"))</x:f>
      </x:c>
    </x:row>
    <x:row r="13" ht="21" customHeight="1">
      <x:c r="A13" s="2" t="n">
        <x:v>8</x:v>
      </x:c>
      <x:c r="B13" s="9"/>
      <x:c r="C13" s="9"/>
      <x:c r="D13" s="2" t="str">
        <x:f>IF(B13="","",VLOOKUP(B13,'Rythern Catalog'!$A$6:$D$466,2,FALSE))</x:f>
      </x:c>
      <x:c r="E13" s="2" t="str">
        <x:f>IF(B13="","","SW / SG")</x:f>
      </x:c>
      <x:c r="F13" s="8" t="str">
        <x:f>IF(B13="","",VLOOKUP(B13,'Rythern Catalog'!$A$6:$D$466,4,FALSE))</x:f>
      </x:c>
      <x:c r="G13" s="8" t="str">
        <x:f>IF(B13="","",IF(AND(ISNUMBER(C13),C13&gt;=0,C13&lt;=100000,C13=INT(C13)),ROUND(C13*F13,2),NA()))</x:f>
      </x:c>
      <x:c r="H13" s="2" t="str">
        <x:f>IF(B13="",IF(C13="","","Review"),IF(AND(ISNUMBER(F13),ISNUMBER(C13),C13&gt;=0,C13&lt;=100000,C13=INT(C13)),"","Review"))</x:f>
      </x:c>
    </x:row>
    <x:row r="14" ht="21" customHeight="1">
      <x:c r="A14" s="2" t="n">
        <x:v>9</x:v>
      </x:c>
      <x:c r="B14" s="9"/>
      <x:c r="C14" s="9"/>
      <x:c r="D14" s="2" t="str">
        <x:f>IF(B14="","",VLOOKUP(B14,'Rythern Catalog'!$A$6:$D$466,2,FALSE))</x:f>
      </x:c>
      <x:c r="E14" s="2" t="str">
        <x:f>IF(B14="","","SW / SG")</x:f>
      </x:c>
      <x:c r="F14" s="8" t="str">
        <x:f>IF(B14="","",VLOOKUP(B14,'Rythern Catalog'!$A$6:$D$466,4,FALSE))</x:f>
      </x:c>
      <x:c r="G14" s="8" t="str">
        <x:f>IF(B14="","",IF(AND(ISNUMBER(C14),C14&gt;=0,C14&lt;=100000,C14=INT(C14)),ROUND(C14*F14,2),NA()))</x:f>
      </x:c>
      <x:c r="H14" s="2" t="str">
        <x:f>IF(B14="",IF(C14="","","Review"),IF(AND(ISNUMBER(F14),ISNUMBER(C14),C14&gt;=0,C14&lt;=100000,C14=INT(C14)),"","Review"))</x:f>
      </x:c>
    </x:row>
    <x:row r="15" ht="21" customHeight="1">
      <x:c r="A15" s="2" t="n">
        <x:v>10</x:v>
      </x:c>
      <x:c r="B15" s="9"/>
      <x:c r="C15" s="9"/>
      <x:c r="D15" s="2" t="str">
        <x:f>IF(B15="","",VLOOKUP(B15,'Rythern Catalog'!$A$6:$D$466,2,FALSE))</x:f>
      </x:c>
      <x:c r="E15" s="2" t="str">
        <x:f>IF(B15="","","SW / SG")</x:f>
      </x:c>
      <x:c r="F15" s="8" t="str">
        <x:f>IF(B15="","",VLOOKUP(B15,'Rythern Catalog'!$A$6:$D$466,4,FALSE))</x:f>
      </x:c>
      <x:c r="G15" s="8" t="str">
        <x:f>IF(B15="","",IF(AND(ISNUMBER(C15),C15&gt;=0,C15&lt;=100000,C15=INT(C15)),ROUND(C15*F15,2),NA()))</x:f>
      </x:c>
      <x:c r="H15" s="2" t="str">
        <x:f>IF(B15="",IF(C15="","","Review"),IF(AND(ISNUMBER(F15),ISNUMBER(C15),C15&gt;=0,C15&lt;=100000,C15=INT(C15)),"","Review"))</x:f>
      </x:c>
    </x:row>
    <x:row r="16" ht="21" customHeight="1">
      <x:c r="A16" s="2" t="n">
        <x:v>11</x:v>
      </x:c>
      <x:c r="B16" s="9"/>
      <x:c r="C16" s="9"/>
      <x:c r="D16" s="2" t="str">
        <x:f>IF(B16="","",VLOOKUP(B16,'Rythern Catalog'!$A$6:$D$466,2,FALSE))</x:f>
      </x:c>
      <x:c r="E16" s="2" t="str">
        <x:f>IF(B16="","","SW / SG")</x:f>
      </x:c>
      <x:c r="F16" s="8" t="str">
        <x:f>IF(B16="","",VLOOKUP(B16,'Rythern Catalog'!$A$6:$D$466,4,FALSE))</x:f>
      </x:c>
      <x:c r="G16" s="8" t="str">
        <x:f>IF(B16="","",IF(AND(ISNUMBER(C16),C16&gt;=0,C16&lt;=100000,C16=INT(C16)),ROUND(C16*F16,2),NA()))</x:f>
      </x:c>
      <x:c r="H16" s="2" t="str">
        <x:f>IF(B16="",IF(C16="","","Review"),IF(AND(ISNUMBER(F16),ISNUMBER(C16),C16&gt;=0,C16&lt;=100000,C16=INT(C16)),"","Review"))</x:f>
      </x:c>
    </x:row>
    <x:row r="17" ht="21" customHeight="1">
      <x:c r="A17" s="2" t="n">
        <x:v>12</x:v>
      </x:c>
      <x:c r="B17" s="9"/>
      <x:c r="C17" s="9"/>
      <x:c r="D17" s="2" t="str">
        <x:f>IF(B17="","",VLOOKUP(B17,'Rythern Catalog'!$A$6:$D$466,2,FALSE))</x:f>
      </x:c>
      <x:c r="E17" s="2" t="str">
        <x:f>IF(B17="","","SW / SG")</x:f>
      </x:c>
      <x:c r="F17" s="8" t="str">
        <x:f>IF(B17="","",VLOOKUP(B17,'Rythern Catalog'!$A$6:$D$466,4,FALSE))</x:f>
      </x:c>
      <x:c r="G17" s="8" t="str">
        <x:f>IF(B17="","",IF(AND(ISNUMBER(C17),C17&gt;=0,C17&lt;=100000,C17=INT(C17)),ROUND(C17*F17,2),NA()))</x:f>
      </x:c>
      <x:c r="H17" s="2" t="str">
        <x:f>IF(B17="",IF(C17="","","Review"),IF(AND(ISNUMBER(F17),ISNUMBER(C17),C17&gt;=0,C17&lt;=100000,C17=INT(C17)),"","Review"))</x:f>
      </x:c>
    </x:row>
    <x:row r="18" ht="21" customHeight="1">
      <x:c r="A18" s="2" t="n">
        <x:v>13</x:v>
      </x:c>
      <x:c r="B18" s="9"/>
      <x:c r="C18" s="9"/>
      <x:c r="D18" s="2" t="str">
        <x:f>IF(B18="","",VLOOKUP(B18,'Rythern Catalog'!$A$6:$D$466,2,FALSE))</x:f>
      </x:c>
      <x:c r="E18" s="2" t="str">
        <x:f>IF(B18="","","SW / SG")</x:f>
      </x:c>
      <x:c r="F18" s="8" t="str">
        <x:f>IF(B18="","",VLOOKUP(B18,'Rythern Catalog'!$A$6:$D$466,4,FALSE))</x:f>
      </x:c>
      <x:c r="G18" s="8" t="str">
        <x:f>IF(B18="","",IF(AND(ISNUMBER(C18),C18&gt;=0,C18&lt;=100000,C18=INT(C18)),ROUND(C18*F18,2),NA()))</x:f>
      </x:c>
      <x:c r="H18" s="2" t="str">
        <x:f>IF(B18="",IF(C18="","","Review"),IF(AND(ISNUMBER(F18),ISNUMBER(C18),C18&gt;=0,C18&lt;=100000,C18=INT(C18)),"","Review"))</x:f>
      </x:c>
    </x:row>
    <x:row r="19" ht="21" customHeight="1">
      <x:c r="A19" s="2" t="n">
        <x:v>14</x:v>
      </x:c>
      <x:c r="B19" s="9"/>
      <x:c r="C19" s="9"/>
      <x:c r="D19" s="2" t="str">
        <x:f>IF(B19="","",VLOOKUP(B19,'Rythern Catalog'!$A$6:$D$466,2,FALSE))</x:f>
      </x:c>
      <x:c r="E19" s="2" t="str">
        <x:f>IF(B19="","","SW / SG")</x:f>
      </x:c>
      <x:c r="F19" s="8" t="str">
        <x:f>IF(B19="","",VLOOKUP(B19,'Rythern Catalog'!$A$6:$D$466,4,FALSE))</x:f>
      </x:c>
      <x:c r="G19" s="8" t="str">
        <x:f>IF(B19="","",IF(AND(ISNUMBER(C19),C19&gt;=0,C19&lt;=100000,C19=INT(C19)),ROUND(C19*F19,2),NA()))</x:f>
      </x:c>
      <x:c r="H19" s="2" t="str">
        <x:f>IF(B19="",IF(C19="","","Review"),IF(AND(ISNUMBER(F19),ISNUMBER(C19),C19&gt;=0,C19&lt;=100000,C19=INT(C19)),"","Review"))</x:f>
      </x:c>
    </x:row>
    <x:row r="20" ht="21" customHeight="1">
      <x:c r="A20" s="2" t="n">
        <x:v>15</x:v>
      </x:c>
      <x:c r="B20" s="9"/>
      <x:c r="C20" s="9"/>
      <x:c r="D20" s="2" t="str">
        <x:f>IF(B20="","",VLOOKUP(B20,'Rythern Catalog'!$A$6:$D$466,2,FALSE))</x:f>
      </x:c>
      <x:c r="E20" s="2" t="str">
        <x:f>IF(B20="","","SW / SG")</x:f>
      </x:c>
      <x:c r="F20" s="8" t="str">
        <x:f>IF(B20="","",VLOOKUP(B20,'Rythern Catalog'!$A$6:$D$466,4,FALSE))</x:f>
      </x:c>
      <x:c r="G20" s="8" t="str">
        <x:f>IF(B20="","",IF(AND(ISNUMBER(C20),C20&gt;=0,C20&lt;=100000,C20=INT(C20)),ROUND(C20*F20,2),NA()))</x:f>
      </x:c>
      <x:c r="H20" s="2" t="str">
        <x:f>IF(B20="",IF(C20="","","Review"),IF(AND(ISNUMBER(F20),ISNUMBER(C20),C20&gt;=0,C20&lt;=100000,C20=INT(C20)),"","Review"))</x:f>
      </x:c>
    </x:row>
    <x:row r="21" ht="21" customHeight="1">
      <x:c r="A21" s="2" t="n">
        <x:v>16</x:v>
      </x:c>
      <x:c r="B21" s="9"/>
      <x:c r="C21" s="9"/>
      <x:c r="D21" s="2" t="str">
        <x:f>IF(B21="","",VLOOKUP(B21,'Rythern Catalog'!$A$6:$D$466,2,FALSE))</x:f>
      </x:c>
      <x:c r="E21" s="2" t="str">
        <x:f>IF(B21="","","SW / SG")</x:f>
      </x:c>
      <x:c r="F21" s="8" t="str">
        <x:f>IF(B21="","",VLOOKUP(B21,'Rythern Catalog'!$A$6:$D$466,4,FALSE))</x:f>
      </x:c>
      <x:c r="G21" s="8" t="str">
        <x:f>IF(B21="","",IF(AND(ISNUMBER(C21),C21&gt;=0,C21&lt;=100000,C21=INT(C21)),ROUND(C21*F21,2),NA()))</x:f>
      </x:c>
      <x:c r="H21" s="2" t="str">
        <x:f>IF(B21="",IF(C21="","","Review"),IF(AND(ISNUMBER(F21),ISNUMBER(C21),C21&gt;=0,C21&lt;=100000,C21=INT(C21)),"","Review"))</x:f>
      </x:c>
    </x:row>
    <x:row r="22" ht="21" customHeight="1">
      <x:c r="A22" s="2" t="n">
        <x:v>17</x:v>
      </x:c>
      <x:c r="B22" s="9"/>
      <x:c r="C22" s="9"/>
      <x:c r="D22" s="2" t="str">
        <x:f>IF(B22="","",VLOOKUP(B22,'Rythern Catalog'!$A$6:$D$466,2,FALSE))</x:f>
      </x:c>
      <x:c r="E22" s="2" t="str">
        <x:f>IF(B22="","","SW / SG")</x:f>
      </x:c>
      <x:c r="F22" s="8" t="str">
        <x:f>IF(B22="","",VLOOKUP(B22,'Rythern Catalog'!$A$6:$D$466,4,FALSE))</x:f>
      </x:c>
      <x:c r="G22" s="8" t="str">
        <x:f>IF(B22="","",IF(AND(ISNUMBER(C22),C22&gt;=0,C22&lt;=100000,C22=INT(C22)),ROUND(C22*F22,2),NA()))</x:f>
      </x:c>
      <x:c r="H22" s="2" t="str">
        <x:f>IF(B22="",IF(C22="","","Review"),IF(AND(ISNUMBER(F22),ISNUMBER(C22),C22&gt;=0,C22&lt;=100000,C22=INT(C22)),"","Review"))</x:f>
      </x:c>
    </x:row>
    <x:row r="23" ht="21" customHeight="1">
      <x:c r="A23" s="2" t="n">
        <x:v>18</x:v>
      </x:c>
      <x:c r="B23" s="9"/>
      <x:c r="C23" s="9"/>
      <x:c r="D23" s="2" t="str">
        <x:f>IF(B23="","",VLOOKUP(B23,'Rythern Catalog'!$A$6:$D$466,2,FALSE))</x:f>
      </x:c>
      <x:c r="E23" s="2" t="str">
        <x:f>IF(B23="","","SW / SG")</x:f>
      </x:c>
      <x:c r="F23" s="8" t="str">
        <x:f>IF(B23="","",VLOOKUP(B23,'Rythern Catalog'!$A$6:$D$466,4,FALSE))</x:f>
      </x:c>
      <x:c r="G23" s="8" t="str">
        <x:f>IF(B23="","",IF(AND(ISNUMBER(C23),C23&gt;=0,C23&lt;=100000,C23=INT(C23)),ROUND(C23*F23,2),NA()))</x:f>
      </x:c>
      <x:c r="H23" s="2" t="str">
        <x:f>IF(B23="",IF(C23="","","Review"),IF(AND(ISNUMBER(F23),ISNUMBER(C23),C23&gt;=0,C23&lt;=100000,C23=INT(C23)),"","Review"))</x:f>
      </x:c>
    </x:row>
    <x:row r="24" ht="21" customHeight="1">
      <x:c r="A24" s="2" t="n">
        <x:v>19</x:v>
      </x:c>
      <x:c r="B24" s="9"/>
      <x:c r="C24" s="9"/>
      <x:c r="D24" s="2" t="str">
        <x:f>IF(B24="","",VLOOKUP(B24,'Rythern Catalog'!$A$6:$D$466,2,FALSE))</x:f>
      </x:c>
      <x:c r="E24" s="2" t="str">
        <x:f>IF(B24="","","SW / SG")</x:f>
      </x:c>
      <x:c r="F24" s="8" t="str">
        <x:f>IF(B24="","",VLOOKUP(B24,'Rythern Catalog'!$A$6:$D$466,4,FALSE))</x:f>
      </x:c>
      <x:c r="G24" s="8" t="str">
        <x:f>IF(B24="","",IF(AND(ISNUMBER(C24),C24&gt;=0,C24&lt;=100000,C24=INT(C24)),ROUND(C24*F24,2),NA()))</x:f>
      </x:c>
      <x:c r="H24" s="2" t="str">
        <x:f>IF(B24="",IF(C24="","","Review"),IF(AND(ISNUMBER(F24),ISNUMBER(C24),C24&gt;=0,C24&lt;=100000,C24=INT(C24)),"","Review"))</x:f>
      </x:c>
    </x:row>
    <x:row r="25" ht="21" customHeight="1">
      <x:c r="A25" s="2" t="n">
        <x:v>20</x:v>
      </x:c>
      <x:c r="B25" s="9"/>
      <x:c r="C25" s="9"/>
      <x:c r="D25" s="2" t="str">
        <x:f>IF(B25="","",VLOOKUP(B25,'Rythern Catalog'!$A$6:$D$466,2,FALSE))</x:f>
      </x:c>
      <x:c r="E25" s="2" t="str">
        <x:f>IF(B25="","","SW / SG")</x:f>
      </x:c>
      <x:c r="F25" s="8" t="str">
        <x:f>IF(B25="","",VLOOKUP(B25,'Rythern Catalog'!$A$6:$D$466,4,FALSE))</x:f>
      </x:c>
      <x:c r="G25" s="8" t="str">
        <x:f>IF(B25="","",IF(AND(ISNUMBER(C25),C25&gt;=0,C25&lt;=100000,C25=INT(C25)),ROUND(C25*F25,2),NA()))</x:f>
      </x:c>
      <x:c r="H25" s="2" t="str">
        <x:f>IF(B25="",IF(C25="","","Review"),IF(AND(ISNUMBER(F25),ISNUMBER(C25),C25&gt;=0,C25&lt;=100000,C25=INT(C25)),"","Review"))</x:f>
      </x:c>
    </x:row>
    <x:row r="26" ht="21" customHeight="1">
      <x:c r="A26" s="2" t="n">
        <x:v>21</x:v>
      </x:c>
      <x:c r="B26" s="9"/>
      <x:c r="C26" s="9"/>
      <x:c r="D26" s="2" t="str">
        <x:f>IF(B26="","",VLOOKUP(B26,'Rythern Catalog'!$A$6:$D$466,2,FALSE))</x:f>
      </x:c>
      <x:c r="E26" s="2" t="str">
        <x:f>IF(B26="","","SW / SG")</x:f>
      </x:c>
      <x:c r="F26" s="8" t="str">
        <x:f>IF(B26="","",VLOOKUP(B26,'Rythern Catalog'!$A$6:$D$466,4,FALSE))</x:f>
      </x:c>
      <x:c r="G26" s="8" t="str">
        <x:f>IF(B26="","",IF(AND(ISNUMBER(C26),C26&gt;=0,C26&lt;=100000,C26=INT(C26)),ROUND(C26*F26,2),NA()))</x:f>
      </x:c>
      <x:c r="H26" s="2" t="str">
        <x:f>IF(B26="",IF(C26="","","Review"),IF(AND(ISNUMBER(F26),ISNUMBER(C26),C26&gt;=0,C26&lt;=100000,C26=INT(C26)),"","Review"))</x:f>
      </x:c>
    </x:row>
    <x:row r="27" ht="21" customHeight="1">
      <x:c r="A27" s="2" t="n">
        <x:v>22</x:v>
      </x:c>
      <x:c r="B27" s="9"/>
      <x:c r="C27" s="9"/>
      <x:c r="D27" s="2" t="str">
        <x:f>IF(B27="","",VLOOKUP(B27,'Rythern Catalog'!$A$6:$D$466,2,FALSE))</x:f>
      </x:c>
      <x:c r="E27" s="2" t="str">
        <x:f>IF(B27="","","SW / SG")</x:f>
      </x:c>
      <x:c r="F27" s="8" t="str">
        <x:f>IF(B27="","",VLOOKUP(B27,'Rythern Catalog'!$A$6:$D$466,4,FALSE))</x:f>
      </x:c>
      <x:c r="G27" s="8" t="str">
        <x:f>IF(B27="","",IF(AND(ISNUMBER(C27),C27&gt;=0,C27&lt;=100000,C27=INT(C27)),ROUND(C27*F27,2),NA()))</x:f>
      </x:c>
      <x:c r="H27" s="2" t="str">
        <x:f>IF(B27="",IF(C27="","","Review"),IF(AND(ISNUMBER(F27),ISNUMBER(C27),C27&gt;=0,C27&lt;=100000,C27=INT(C27)),"","Review"))</x:f>
      </x:c>
    </x:row>
    <x:row r="28" ht="21" customHeight="1">
      <x:c r="A28" s="2" t="n">
        <x:v>23</x:v>
      </x:c>
      <x:c r="B28" s="9"/>
      <x:c r="C28" s="9"/>
      <x:c r="D28" s="2" t="str">
        <x:f>IF(B28="","",VLOOKUP(B28,'Rythern Catalog'!$A$6:$D$466,2,FALSE))</x:f>
      </x:c>
      <x:c r="E28" s="2" t="str">
        <x:f>IF(B28="","","SW / SG")</x:f>
      </x:c>
      <x:c r="F28" s="8" t="str">
        <x:f>IF(B28="","",VLOOKUP(B28,'Rythern Catalog'!$A$6:$D$466,4,FALSE))</x:f>
      </x:c>
      <x:c r="G28" s="8" t="str">
        <x:f>IF(B28="","",IF(AND(ISNUMBER(C28),C28&gt;=0,C28&lt;=100000,C28=INT(C28)),ROUND(C28*F28,2),NA()))</x:f>
      </x:c>
      <x:c r="H28" s="2" t="str">
        <x:f>IF(B28="",IF(C28="","","Review"),IF(AND(ISNUMBER(F28),ISNUMBER(C28),C28&gt;=0,C28&lt;=100000,C28=INT(C28)),"","Review"))</x:f>
      </x:c>
    </x:row>
    <x:row r="29" ht="21" customHeight="1">
      <x:c r="A29" s="2" t="n">
        <x:v>24</x:v>
      </x:c>
      <x:c r="B29" s="9"/>
      <x:c r="C29" s="9"/>
      <x:c r="D29" s="2" t="str">
        <x:f>IF(B29="","",VLOOKUP(B29,'Rythern Catalog'!$A$6:$D$466,2,FALSE))</x:f>
      </x:c>
      <x:c r="E29" s="2" t="str">
        <x:f>IF(B29="","","SW / SG")</x:f>
      </x:c>
      <x:c r="F29" s="8" t="str">
        <x:f>IF(B29="","",VLOOKUP(B29,'Rythern Catalog'!$A$6:$D$466,4,FALSE))</x:f>
      </x:c>
      <x:c r="G29" s="8" t="str">
        <x:f>IF(B29="","",IF(AND(ISNUMBER(C29),C29&gt;=0,C29&lt;=100000,C29=INT(C29)),ROUND(C29*F29,2),NA()))</x:f>
      </x:c>
      <x:c r="H29" s="2" t="str">
        <x:f>IF(B29="",IF(C29="","","Review"),IF(AND(ISNUMBER(F29),ISNUMBER(C29),C29&gt;=0,C29&lt;=100000,C29=INT(C29)),"","Review"))</x:f>
      </x:c>
    </x:row>
    <x:row r="30" ht="21" customHeight="1">
      <x:c r="A30" s="2" t="n">
        <x:v>25</x:v>
      </x:c>
      <x:c r="B30" s="9"/>
      <x:c r="C30" s="9"/>
      <x:c r="D30" s="2" t="str">
        <x:f>IF(B30="","",VLOOKUP(B30,'Rythern Catalog'!$A$6:$D$466,2,FALSE))</x:f>
      </x:c>
      <x:c r="E30" s="2" t="str">
        <x:f>IF(B30="","","SW / SG")</x:f>
      </x:c>
      <x:c r="F30" s="8" t="str">
        <x:f>IF(B30="","",VLOOKUP(B30,'Rythern Catalog'!$A$6:$D$466,4,FALSE))</x:f>
      </x:c>
      <x:c r="G30" s="8" t="str">
        <x:f>IF(B30="","",IF(AND(ISNUMBER(C30),C30&gt;=0,C30&lt;=100000,C30=INT(C30)),ROUND(C30*F30,2),NA()))</x:f>
      </x:c>
      <x:c r="H30" s="2" t="str">
        <x:f>IF(B30="",IF(C30="","","Review"),IF(AND(ISNUMBER(F30),ISNUMBER(C30),C30&gt;=0,C30&lt;=100000,C30=INT(C30)),"","Review"))</x:f>
      </x:c>
    </x:row>
    <x:row r="31" ht="21" customHeight="1">
      <x:c r="A31" s="2" t="n">
        <x:v>26</x:v>
      </x:c>
      <x:c r="B31" s="9"/>
      <x:c r="C31" s="9"/>
      <x:c r="D31" s="2" t="str">
        <x:f>IF(B31="","",VLOOKUP(B31,'Rythern Catalog'!$A$6:$D$466,2,FALSE))</x:f>
      </x:c>
      <x:c r="E31" s="2" t="str">
        <x:f>IF(B31="","","SW / SG")</x:f>
      </x:c>
      <x:c r="F31" s="8" t="str">
        <x:f>IF(B31="","",VLOOKUP(B31,'Rythern Catalog'!$A$6:$D$466,4,FALSE))</x:f>
      </x:c>
      <x:c r="G31" s="8" t="str">
        <x:f>IF(B31="","",IF(AND(ISNUMBER(C31),C31&gt;=0,C31&lt;=100000,C31=INT(C31)),ROUND(C31*F31,2),NA()))</x:f>
      </x:c>
      <x:c r="H31" s="2" t="str">
        <x:f>IF(B31="",IF(C31="","","Review"),IF(AND(ISNUMBER(F31),ISNUMBER(C31),C31&gt;=0,C31&lt;=100000,C31=INT(C31)),"","Review"))</x:f>
      </x:c>
    </x:row>
    <x:row r="32" ht="21" customHeight="1">
      <x:c r="A32" s="2" t="n">
        <x:v>27</x:v>
      </x:c>
      <x:c r="B32" s="9"/>
      <x:c r="C32" s="9"/>
      <x:c r="D32" s="2" t="str">
        <x:f>IF(B32="","",VLOOKUP(B32,'Rythern Catalog'!$A$6:$D$466,2,FALSE))</x:f>
      </x:c>
      <x:c r="E32" s="2" t="str">
        <x:f>IF(B32="","","SW / SG")</x:f>
      </x:c>
      <x:c r="F32" s="8" t="str">
        <x:f>IF(B32="","",VLOOKUP(B32,'Rythern Catalog'!$A$6:$D$466,4,FALSE))</x:f>
      </x:c>
      <x:c r="G32" s="8" t="str">
        <x:f>IF(B32="","",IF(AND(ISNUMBER(C32),C32&gt;=0,C32&lt;=100000,C32=INT(C32)),ROUND(C32*F32,2),NA()))</x:f>
      </x:c>
      <x:c r="H32" s="2" t="str">
        <x:f>IF(B32="",IF(C32="","","Review"),IF(AND(ISNUMBER(F32),ISNUMBER(C32),C32&gt;=0,C32&lt;=100000,C32=INT(C32)),"","Review"))</x:f>
      </x:c>
    </x:row>
    <x:row r="33" ht="21" customHeight="1">
      <x:c r="A33" s="2" t="n">
        <x:v>28</x:v>
      </x:c>
      <x:c r="B33" s="9"/>
      <x:c r="C33" s="9"/>
      <x:c r="D33" s="2" t="str">
        <x:f>IF(B33="","",VLOOKUP(B33,'Rythern Catalog'!$A$6:$D$466,2,FALSE))</x:f>
      </x:c>
      <x:c r="E33" s="2" t="str">
        <x:f>IF(B33="","","SW / SG")</x:f>
      </x:c>
      <x:c r="F33" s="8" t="str">
        <x:f>IF(B33="","",VLOOKUP(B33,'Rythern Catalog'!$A$6:$D$466,4,FALSE))</x:f>
      </x:c>
      <x:c r="G33" s="8" t="str">
        <x:f>IF(B33="","",IF(AND(ISNUMBER(C33),C33&gt;=0,C33&lt;=100000,C33=INT(C33)),ROUND(C33*F33,2),NA()))</x:f>
      </x:c>
      <x:c r="H33" s="2" t="str">
        <x:f>IF(B33="",IF(C33="","","Review"),IF(AND(ISNUMBER(F33),ISNUMBER(C33),C33&gt;=0,C33&lt;=100000,C33=INT(C33)),"","Review"))</x:f>
      </x:c>
    </x:row>
    <x:row r="34" ht="21" customHeight="1">
      <x:c r="A34" s="2" t="n">
        <x:v>29</x:v>
      </x:c>
      <x:c r="B34" s="9"/>
      <x:c r="C34" s="9"/>
      <x:c r="D34" s="2" t="str">
        <x:f>IF(B34="","",VLOOKUP(B34,'Rythern Catalog'!$A$6:$D$466,2,FALSE))</x:f>
      </x:c>
      <x:c r="E34" s="2" t="str">
        <x:f>IF(B34="","","SW / SG")</x:f>
      </x:c>
      <x:c r="F34" s="8" t="str">
        <x:f>IF(B34="","",VLOOKUP(B34,'Rythern Catalog'!$A$6:$D$466,4,FALSE))</x:f>
      </x:c>
      <x:c r="G34" s="8" t="str">
        <x:f>IF(B34="","",IF(AND(ISNUMBER(C34),C34&gt;=0,C34&lt;=100000,C34=INT(C34)),ROUND(C34*F34,2),NA()))</x:f>
      </x:c>
      <x:c r="H34" s="2" t="str">
        <x:f>IF(B34="",IF(C34="","","Review"),IF(AND(ISNUMBER(F34),ISNUMBER(C34),C34&gt;=0,C34&lt;=100000,C34=INT(C34)),"","Review"))</x:f>
      </x:c>
    </x:row>
    <x:row r="35" ht="21" customHeight="1">
      <x:c r="A35" s="2" t="n">
        <x:v>30</x:v>
      </x:c>
      <x:c r="B35" s="9"/>
      <x:c r="C35" s="9"/>
      <x:c r="D35" s="2" t="str">
        <x:f>IF(B35="","",VLOOKUP(B35,'Rythern Catalog'!$A$6:$D$466,2,FALSE))</x:f>
      </x:c>
      <x:c r="E35" s="2" t="str">
        <x:f>IF(B35="","","SW / SG")</x:f>
      </x:c>
      <x:c r="F35" s="8" t="str">
        <x:f>IF(B35="","",VLOOKUP(B35,'Rythern Catalog'!$A$6:$D$466,4,FALSE))</x:f>
      </x:c>
      <x:c r="G35" s="8" t="str">
        <x:f>IF(B35="","",IF(AND(ISNUMBER(C35),C35&gt;=0,C35&lt;=100000,C35=INT(C35)),ROUND(C35*F35,2),NA()))</x:f>
      </x:c>
      <x:c r="H35" s="2" t="str">
        <x:f>IF(B35="",IF(C35="","","Review"),IF(AND(ISNUMBER(F35),ISNUMBER(C35),C35&gt;=0,C35&lt;=100000,C35=INT(C35)),"","Review"))</x:f>
      </x:c>
    </x:row>
    <x:row r="36" ht="21" customHeight="1">
      <x:c r="A36" s="2" t="n">
        <x:v>31</x:v>
      </x:c>
      <x:c r="B36" s="9"/>
      <x:c r="C36" s="9"/>
      <x:c r="D36" s="2" t="str">
        <x:f>IF(B36="","",VLOOKUP(B36,'Rythern Catalog'!$A$6:$D$466,2,FALSE))</x:f>
      </x:c>
      <x:c r="E36" s="2" t="str">
        <x:f>IF(B36="","","SW / SG")</x:f>
      </x:c>
      <x:c r="F36" s="8" t="str">
        <x:f>IF(B36="","",VLOOKUP(B36,'Rythern Catalog'!$A$6:$D$466,4,FALSE))</x:f>
      </x:c>
      <x:c r="G36" s="8" t="str">
        <x:f>IF(B36="","",IF(AND(ISNUMBER(C36),C36&gt;=0,C36&lt;=100000,C36=INT(C36)),ROUND(C36*F36,2),NA()))</x:f>
      </x:c>
      <x:c r="H36" s="2" t="str">
        <x:f>IF(B36="",IF(C36="","","Review"),IF(AND(ISNUMBER(F36),ISNUMBER(C36),C36&gt;=0,C36&lt;=100000,C36=INT(C36)),"","Review"))</x:f>
      </x:c>
    </x:row>
    <x:row r="37" ht="21" customHeight="1">
      <x:c r="A37" s="2" t="n">
        <x:v>32</x:v>
      </x:c>
      <x:c r="B37" s="9"/>
      <x:c r="C37" s="9"/>
      <x:c r="D37" s="2" t="str">
        <x:f>IF(B37="","",VLOOKUP(B37,'Rythern Catalog'!$A$6:$D$466,2,FALSE))</x:f>
      </x:c>
      <x:c r="E37" s="2" t="str">
        <x:f>IF(B37="","","SW / SG")</x:f>
      </x:c>
      <x:c r="F37" s="8" t="str">
        <x:f>IF(B37="","",VLOOKUP(B37,'Rythern Catalog'!$A$6:$D$466,4,FALSE))</x:f>
      </x:c>
      <x:c r="G37" s="8" t="str">
        <x:f>IF(B37="","",IF(AND(ISNUMBER(C37),C37&gt;=0,C37&lt;=100000,C37=INT(C37)),ROUND(C37*F37,2),NA()))</x:f>
      </x:c>
      <x:c r="H37" s="2" t="str">
        <x:f>IF(B37="",IF(C37="","","Review"),IF(AND(ISNUMBER(F37),ISNUMBER(C37),C37&gt;=0,C37&lt;=100000,C37=INT(C37)),"","Review"))</x:f>
      </x:c>
    </x:row>
    <x:row r="38" ht="21" customHeight="1">
      <x:c r="A38" s="2" t="n">
        <x:v>33</x:v>
      </x:c>
      <x:c r="B38" s="9"/>
      <x:c r="C38" s="9"/>
      <x:c r="D38" s="2" t="str">
        <x:f>IF(B38="","",VLOOKUP(B38,'Rythern Catalog'!$A$6:$D$466,2,FALSE))</x:f>
      </x:c>
      <x:c r="E38" s="2" t="str">
        <x:f>IF(B38="","","SW / SG")</x:f>
      </x:c>
      <x:c r="F38" s="8" t="str">
        <x:f>IF(B38="","",VLOOKUP(B38,'Rythern Catalog'!$A$6:$D$466,4,FALSE))</x:f>
      </x:c>
      <x:c r="G38" s="8" t="str">
        <x:f>IF(B38="","",IF(AND(ISNUMBER(C38),C38&gt;=0,C38&lt;=100000,C38=INT(C38)),ROUND(C38*F38,2),NA()))</x:f>
      </x:c>
      <x:c r="H38" s="2" t="str">
        <x:f>IF(B38="",IF(C38="","","Review"),IF(AND(ISNUMBER(F38),ISNUMBER(C38),C38&gt;=0,C38&lt;=100000,C38=INT(C38)),"","Review"))</x:f>
      </x:c>
    </x:row>
    <x:row r="39" ht="21" customHeight="1">
      <x:c r="A39" s="2" t="n">
        <x:v>34</x:v>
      </x:c>
      <x:c r="B39" s="9"/>
      <x:c r="C39" s="9"/>
      <x:c r="D39" s="2" t="str">
        <x:f>IF(B39="","",VLOOKUP(B39,'Rythern Catalog'!$A$6:$D$466,2,FALSE))</x:f>
      </x:c>
      <x:c r="E39" s="2" t="str">
        <x:f>IF(B39="","","SW / SG")</x:f>
      </x:c>
      <x:c r="F39" s="8" t="str">
        <x:f>IF(B39="","",VLOOKUP(B39,'Rythern Catalog'!$A$6:$D$466,4,FALSE))</x:f>
      </x:c>
      <x:c r="G39" s="8" t="str">
        <x:f>IF(B39="","",IF(AND(ISNUMBER(C39),C39&gt;=0,C39&lt;=100000,C39=INT(C39)),ROUND(C39*F39,2),NA()))</x:f>
      </x:c>
      <x:c r="H39" s="2" t="str">
        <x:f>IF(B39="",IF(C39="","","Review"),IF(AND(ISNUMBER(F39),ISNUMBER(C39),C39&gt;=0,C39&lt;=100000,C39=INT(C39)),"","Review"))</x:f>
      </x:c>
    </x:row>
    <x:row r="40" ht="21" customHeight="1">
      <x:c r="A40" s="2" t="n">
        <x:v>35</x:v>
      </x:c>
      <x:c r="B40" s="9"/>
      <x:c r="C40" s="9"/>
      <x:c r="D40" s="2" t="str">
        <x:f>IF(B40="","",VLOOKUP(B40,'Rythern Catalog'!$A$6:$D$466,2,FALSE))</x:f>
      </x:c>
      <x:c r="E40" s="2" t="str">
        <x:f>IF(B40="","","SW / SG")</x:f>
      </x:c>
      <x:c r="F40" s="8" t="str">
        <x:f>IF(B40="","",VLOOKUP(B40,'Rythern Catalog'!$A$6:$D$466,4,FALSE))</x:f>
      </x:c>
      <x:c r="G40" s="8" t="str">
        <x:f>IF(B40="","",IF(AND(ISNUMBER(C40),C40&gt;=0,C40&lt;=100000,C40=INT(C40)),ROUND(C40*F40,2),NA()))</x:f>
      </x:c>
      <x:c r="H40" s="2" t="str">
        <x:f>IF(B40="",IF(C40="","","Review"),IF(AND(ISNUMBER(F40),ISNUMBER(C40),C40&gt;=0,C40&lt;=100000,C40=INT(C40)),"","Review"))</x:f>
      </x:c>
    </x:row>
    <x:row r="41" ht="21" customHeight="1">
      <x:c r="A41" s="2" t="n">
        <x:v>36</x:v>
      </x:c>
      <x:c r="B41" s="9"/>
      <x:c r="C41" s="9"/>
      <x:c r="D41" s="2" t="str">
        <x:f>IF(B41="","",VLOOKUP(B41,'Rythern Catalog'!$A$6:$D$466,2,FALSE))</x:f>
      </x:c>
      <x:c r="E41" s="2" t="str">
        <x:f>IF(B41="","","SW / SG")</x:f>
      </x:c>
      <x:c r="F41" s="8" t="str">
        <x:f>IF(B41="","",VLOOKUP(B41,'Rythern Catalog'!$A$6:$D$466,4,FALSE))</x:f>
      </x:c>
      <x:c r="G41" s="8" t="str">
        <x:f>IF(B41="","",IF(AND(ISNUMBER(C41),C41&gt;=0,C41&lt;=100000,C41=INT(C41)),ROUND(C41*F41,2),NA()))</x:f>
      </x:c>
      <x:c r="H41" s="2" t="str">
        <x:f>IF(B41="",IF(C41="","","Review"),IF(AND(ISNUMBER(F41),ISNUMBER(C41),C41&gt;=0,C41&lt;=100000,C41=INT(C41)),"","Review"))</x:f>
      </x:c>
    </x:row>
    <x:row r="42" ht="21" customHeight="1">
      <x:c r="A42" s="2" t="n">
        <x:v>37</x:v>
      </x:c>
      <x:c r="B42" s="9"/>
      <x:c r="C42" s="9"/>
      <x:c r="D42" s="2" t="str">
        <x:f>IF(B42="","",VLOOKUP(B42,'Rythern Catalog'!$A$6:$D$466,2,FALSE))</x:f>
      </x:c>
      <x:c r="E42" s="2" t="str">
        <x:f>IF(B42="","","SW / SG")</x:f>
      </x:c>
      <x:c r="F42" s="8" t="str">
        <x:f>IF(B42="","",VLOOKUP(B42,'Rythern Catalog'!$A$6:$D$466,4,FALSE))</x:f>
      </x:c>
      <x:c r="G42" s="8" t="str">
        <x:f>IF(B42="","",IF(AND(ISNUMBER(C42),C42&gt;=0,C42&lt;=100000,C42=INT(C42)),ROUND(C42*F42,2),NA()))</x:f>
      </x:c>
      <x:c r="H42" s="2" t="str">
        <x:f>IF(B42="",IF(C42="","","Review"),IF(AND(ISNUMBER(F42),ISNUMBER(C42),C42&gt;=0,C42&lt;=100000,C42=INT(C42)),"","Review"))</x:f>
      </x:c>
    </x:row>
    <x:row r="43" ht="21" customHeight="1">
      <x:c r="A43" s="2" t="n">
        <x:v>38</x:v>
      </x:c>
      <x:c r="B43" s="9"/>
      <x:c r="C43" s="9"/>
      <x:c r="D43" s="2" t="str">
        <x:f>IF(B43="","",VLOOKUP(B43,'Rythern Catalog'!$A$6:$D$466,2,FALSE))</x:f>
      </x:c>
      <x:c r="E43" s="2" t="str">
        <x:f>IF(B43="","","SW / SG")</x:f>
      </x:c>
      <x:c r="F43" s="8" t="str">
        <x:f>IF(B43="","",VLOOKUP(B43,'Rythern Catalog'!$A$6:$D$466,4,FALSE))</x:f>
      </x:c>
      <x:c r="G43" s="8" t="str">
        <x:f>IF(B43="","",IF(AND(ISNUMBER(C43),C43&gt;=0,C43&lt;=100000,C43=INT(C43)),ROUND(C43*F43,2),NA()))</x:f>
      </x:c>
      <x:c r="H43" s="2" t="str">
        <x:f>IF(B43="",IF(C43="","","Review"),IF(AND(ISNUMBER(F43),ISNUMBER(C43),C43&gt;=0,C43&lt;=100000,C43=INT(C43)),"","Review"))</x:f>
      </x:c>
    </x:row>
    <x:row r="44" ht="21" customHeight="1">
      <x:c r="A44" s="2" t="n">
        <x:v>39</x:v>
      </x:c>
      <x:c r="B44" s="9"/>
      <x:c r="C44" s="9"/>
      <x:c r="D44" s="2" t="str">
        <x:f>IF(B44="","",VLOOKUP(B44,'Rythern Catalog'!$A$6:$D$466,2,FALSE))</x:f>
      </x:c>
      <x:c r="E44" s="2" t="str">
        <x:f>IF(B44="","","SW / SG")</x:f>
      </x:c>
      <x:c r="F44" s="8" t="str">
        <x:f>IF(B44="","",VLOOKUP(B44,'Rythern Catalog'!$A$6:$D$466,4,FALSE))</x:f>
      </x:c>
      <x:c r="G44" s="8" t="str">
        <x:f>IF(B44="","",IF(AND(ISNUMBER(C44),C44&gt;=0,C44&lt;=100000,C44=INT(C44)),ROUND(C44*F44,2),NA()))</x:f>
      </x:c>
      <x:c r="H44" s="2" t="str">
        <x:f>IF(B44="",IF(C44="","","Review"),IF(AND(ISNUMBER(F44),ISNUMBER(C44),C44&gt;=0,C44&lt;=100000,C44=INT(C44)),"","Review"))</x:f>
      </x:c>
    </x:row>
    <x:row r="45" ht="21" customHeight="1">
      <x:c r="A45" s="2" t="n">
        <x:v>40</x:v>
      </x:c>
      <x:c r="B45" s="9"/>
      <x:c r="C45" s="9"/>
      <x:c r="D45" s="2" t="str">
        <x:f>IF(B45="","",VLOOKUP(B45,'Rythern Catalog'!$A$6:$D$466,2,FALSE))</x:f>
      </x:c>
      <x:c r="E45" s="2" t="str">
        <x:f>IF(B45="","","SW / SG")</x:f>
      </x:c>
      <x:c r="F45" s="8" t="str">
        <x:f>IF(B45="","",VLOOKUP(B45,'Rythern Catalog'!$A$6:$D$466,4,FALSE))</x:f>
      </x:c>
      <x:c r="G45" s="8" t="str">
        <x:f>IF(B45="","",IF(AND(ISNUMBER(C45),C45&gt;=0,C45&lt;=100000,C45=INT(C45)),ROUND(C45*F45,2),NA()))</x:f>
      </x:c>
      <x:c r="H45" s="2" t="str">
        <x:f>IF(B45="",IF(C45="","","Review"),IF(AND(ISNUMBER(F45),ISNUMBER(C45),C45&gt;=0,C45&lt;=100000,C45=INT(C45)),"","Review"))</x:f>
      </x:c>
    </x:row>
    <x:row r="46" ht="21" customHeight="1">
      <x:c r="A46" s="2" t="n">
        <x:v>41</x:v>
      </x:c>
      <x:c r="B46" s="9"/>
      <x:c r="C46" s="9"/>
      <x:c r="D46" s="2" t="str">
        <x:f>IF(B46="","",VLOOKUP(B46,'Rythern Catalog'!$A$6:$D$466,2,FALSE))</x:f>
      </x:c>
      <x:c r="E46" s="2" t="str">
        <x:f>IF(B46="","","SW / SG")</x:f>
      </x:c>
      <x:c r="F46" s="8" t="str">
        <x:f>IF(B46="","",VLOOKUP(B46,'Rythern Catalog'!$A$6:$D$466,4,FALSE))</x:f>
      </x:c>
      <x:c r="G46" s="8" t="str">
        <x:f>IF(B46="","",IF(AND(ISNUMBER(C46),C46&gt;=0,C46&lt;=100000,C46=INT(C46)),ROUND(C46*F46,2),NA()))</x:f>
      </x:c>
      <x:c r="H46" s="2" t="str">
        <x:f>IF(B46="",IF(C46="","","Review"),IF(AND(ISNUMBER(F46),ISNUMBER(C46),C46&gt;=0,C46&lt;=100000,C46=INT(C46)),"","Review"))</x:f>
      </x:c>
    </x:row>
    <x:row r="47" ht="21" customHeight="1">
      <x:c r="A47" s="2" t="n">
        <x:v>42</x:v>
      </x:c>
      <x:c r="B47" s="9"/>
      <x:c r="C47" s="9"/>
      <x:c r="D47" s="2" t="str">
        <x:f>IF(B47="","",VLOOKUP(B47,'Rythern Catalog'!$A$6:$D$466,2,FALSE))</x:f>
      </x:c>
      <x:c r="E47" s="2" t="str">
        <x:f>IF(B47="","","SW / SG")</x:f>
      </x:c>
      <x:c r="F47" s="8" t="str">
        <x:f>IF(B47="","",VLOOKUP(B47,'Rythern Catalog'!$A$6:$D$466,4,FALSE))</x:f>
      </x:c>
      <x:c r="G47" s="8" t="str">
        <x:f>IF(B47="","",IF(AND(ISNUMBER(C47),C47&gt;=0,C47&lt;=100000,C47=INT(C47)),ROUND(C47*F47,2),NA()))</x:f>
      </x:c>
      <x:c r="H47" s="2" t="str">
        <x:f>IF(B47="",IF(C47="","","Review"),IF(AND(ISNUMBER(F47),ISNUMBER(C47),C47&gt;=0,C47&lt;=100000,C47=INT(C47)),"","Review"))</x:f>
      </x:c>
    </x:row>
    <x:row r="48" ht="21" customHeight="1">
      <x:c r="A48" s="2" t="n">
        <x:v>43</x:v>
      </x:c>
      <x:c r="B48" s="9"/>
      <x:c r="C48" s="9"/>
      <x:c r="D48" s="2" t="str">
        <x:f>IF(B48="","",VLOOKUP(B48,'Rythern Catalog'!$A$6:$D$466,2,FALSE))</x:f>
      </x:c>
      <x:c r="E48" s="2" t="str">
        <x:f>IF(B48="","","SW / SG")</x:f>
      </x:c>
      <x:c r="F48" s="8" t="str">
        <x:f>IF(B48="","",VLOOKUP(B48,'Rythern Catalog'!$A$6:$D$466,4,FALSE))</x:f>
      </x:c>
      <x:c r="G48" s="8" t="str">
        <x:f>IF(B48="","",IF(AND(ISNUMBER(C48),C48&gt;=0,C48&lt;=100000,C48=INT(C48)),ROUND(C48*F48,2),NA()))</x:f>
      </x:c>
      <x:c r="H48" s="2" t="str">
        <x:f>IF(B48="",IF(C48="","","Review"),IF(AND(ISNUMBER(F48),ISNUMBER(C48),C48&gt;=0,C48&lt;=100000,C48=INT(C48)),"","Review"))</x:f>
      </x:c>
    </x:row>
    <x:row r="49" ht="21" customHeight="1">
      <x:c r="A49" s="2" t="n">
        <x:v>44</x:v>
      </x:c>
      <x:c r="B49" s="9"/>
      <x:c r="C49" s="9"/>
      <x:c r="D49" s="2" t="str">
        <x:f>IF(B49="","",VLOOKUP(B49,'Rythern Catalog'!$A$6:$D$466,2,FALSE))</x:f>
      </x:c>
      <x:c r="E49" s="2" t="str">
        <x:f>IF(B49="","","SW / SG")</x:f>
      </x:c>
      <x:c r="F49" s="8" t="str">
        <x:f>IF(B49="","",VLOOKUP(B49,'Rythern Catalog'!$A$6:$D$466,4,FALSE))</x:f>
      </x:c>
      <x:c r="G49" s="8" t="str">
        <x:f>IF(B49="","",IF(AND(ISNUMBER(C49),C49&gt;=0,C49&lt;=100000,C49=INT(C49)),ROUND(C49*F49,2),NA()))</x:f>
      </x:c>
      <x:c r="H49" s="2" t="str">
        <x:f>IF(B49="",IF(C49="","","Review"),IF(AND(ISNUMBER(F49),ISNUMBER(C49),C49&gt;=0,C49&lt;=100000,C49=INT(C49)),"","Review"))</x:f>
      </x:c>
    </x:row>
    <x:row r="50" ht="21" customHeight="1">
      <x:c r="A50" s="2" t="n">
        <x:v>45</x:v>
      </x:c>
      <x:c r="B50" s="9"/>
      <x:c r="C50" s="9"/>
      <x:c r="D50" s="2" t="str">
        <x:f>IF(B50="","",VLOOKUP(B50,'Rythern Catalog'!$A$6:$D$466,2,FALSE))</x:f>
      </x:c>
      <x:c r="E50" s="2" t="str">
        <x:f>IF(B50="","","SW / SG")</x:f>
      </x:c>
      <x:c r="F50" s="8" t="str">
        <x:f>IF(B50="","",VLOOKUP(B50,'Rythern Catalog'!$A$6:$D$466,4,FALSE))</x:f>
      </x:c>
      <x:c r="G50" s="8" t="str">
        <x:f>IF(B50="","",IF(AND(ISNUMBER(C50),C50&gt;=0,C50&lt;=100000,C50=INT(C50)),ROUND(C50*F50,2),NA()))</x:f>
      </x:c>
      <x:c r="H50" s="2" t="str">
        <x:f>IF(B50="",IF(C50="","","Review"),IF(AND(ISNUMBER(F50),ISNUMBER(C50),C50&gt;=0,C50&lt;=100000,C50=INT(C50)),"","Review"))</x:f>
      </x:c>
    </x:row>
    <x:row r="51" ht="21" customHeight="1">
      <x:c r="A51" s="2" t="n">
        <x:v>46</x:v>
      </x:c>
      <x:c r="B51" s="9"/>
      <x:c r="C51" s="9"/>
      <x:c r="D51" s="2" t="str">
        <x:f>IF(B51="","",VLOOKUP(B51,'Rythern Catalog'!$A$6:$D$466,2,FALSE))</x:f>
      </x:c>
      <x:c r="E51" s="2" t="str">
        <x:f>IF(B51="","","SW / SG")</x:f>
      </x:c>
      <x:c r="F51" s="8" t="str">
        <x:f>IF(B51="","",VLOOKUP(B51,'Rythern Catalog'!$A$6:$D$466,4,FALSE))</x:f>
      </x:c>
      <x:c r="G51" s="8" t="str">
        <x:f>IF(B51="","",IF(AND(ISNUMBER(C51),C51&gt;=0,C51&lt;=100000,C51=INT(C51)),ROUND(C51*F51,2),NA()))</x:f>
      </x:c>
      <x:c r="H51" s="2" t="str">
        <x:f>IF(B51="",IF(C51="","","Review"),IF(AND(ISNUMBER(F51),ISNUMBER(C51),C51&gt;=0,C51&lt;=100000,C51=INT(C51)),"","Review"))</x:f>
      </x:c>
    </x:row>
    <x:row r="52" ht="21" customHeight="1">
      <x:c r="A52" s="2" t="n">
        <x:v>47</x:v>
      </x:c>
      <x:c r="B52" s="9"/>
      <x:c r="C52" s="9"/>
      <x:c r="D52" s="2" t="str">
        <x:f>IF(B52="","",VLOOKUP(B52,'Rythern Catalog'!$A$6:$D$466,2,FALSE))</x:f>
      </x:c>
      <x:c r="E52" s="2" t="str">
        <x:f>IF(B52="","","SW / SG")</x:f>
      </x:c>
      <x:c r="F52" s="8" t="str">
        <x:f>IF(B52="","",VLOOKUP(B52,'Rythern Catalog'!$A$6:$D$466,4,FALSE))</x:f>
      </x:c>
      <x:c r="G52" s="8" t="str">
        <x:f>IF(B52="","",IF(AND(ISNUMBER(C52),C52&gt;=0,C52&lt;=100000,C52=INT(C52)),ROUND(C52*F52,2),NA()))</x:f>
      </x:c>
      <x:c r="H52" s="2" t="str">
        <x:f>IF(B52="",IF(C52="","","Review"),IF(AND(ISNUMBER(F52),ISNUMBER(C52),C52&gt;=0,C52&lt;=100000,C52=INT(C52)),"","Review"))</x:f>
      </x:c>
    </x:row>
    <x:row r="53" ht="21" customHeight="1">
      <x:c r="A53" s="2" t="n">
        <x:v>48</x:v>
      </x:c>
      <x:c r="B53" s="9"/>
      <x:c r="C53" s="9"/>
      <x:c r="D53" s="2" t="str">
        <x:f>IF(B53="","",VLOOKUP(B53,'Rythern Catalog'!$A$6:$D$466,2,FALSE))</x:f>
      </x:c>
      <x:c r="E53" s="2" t="str">
        <x:f>IF(B53="","","SW / SG")</x:f>
      </x:c>
      <x:c r="F53" s="8" t="str">
        <x:f>IF(B53="","",VLOOKUP(B53,'Rythern Catalog'!$A$6:$D$466,4,FALSE))</x:f>
      </x:c>
      <x:c r="G53" s="8" t="str">
        <x:f>IF(B53="","",IF(AND(ISNUMBER(C53),C53&gt;=0,C53&lt;=100000,C53=INT(C53)),ROUND(C53*F53,2),NA()))</x:f>
      </x:c>
      <x:c r="H53" s="2" t="str">
        <x:f>IF(B53="",IF(C53="","","Review"),IF(AND(ISNUMBER(F53),ISNUMBER(C53),C53&gt;=0,C53&lt;=100000,C53=INT(C53)),"","Review"))</x:f>
      </x:c>
    </x:row>
    <x:row r="54" ht="21" customHeight="1">
      <x:c r="A54" s="2" t="n">
        <x:v>49</x:v>
      </x:c>
      <x:c r="B54" s="9"/>
      <x:c r="C54" s="9"/>
      <x:c r="D54" s="2" t="str">
        <x:f>IF(B54="","",VLOOKUP(B54,'Rythern Catalog'!$A$6:$D$466,2,FALSE))</x:f>
      </x:c>
      <x:c r="E54" s="2" t="str">
        <x:f>IF(B54="","","SW / SG")</x:f>
      </x:c>
      <x:c r="F54" s="8" t="str">
        <x:f>IF(B54="","",VLOOKUP(B54,'Rythern Catalog'!$A$6:$D$466,4,FALSE))</x:f>
      </x:c>
      <x:c r="G54" s="8" t="str">
        <x:f>IF(B54="","",IF(AND(ISNUMBER(C54),C54&gt;=0,C54&lt;=100000,C54=INT(C54)),ROUND(C54*F54,2),NA()))</x:f>
      </x:c>
      <x:c r="H54" s="2" t="str">
        <x:f>IF(B54="",IF(C54="","","Review"),IF(AND(ISNUMBER(F54),ISNUMBER(C54),C54&gt;=0,C54&lt;=100000,C54=INT(C54)),"","Review"))</x:f>
      </x:c>
    </x:row>
    <x:row r="55" ht="21" customHeight="1">
      <x:c r="A55" s="2" t="n">
        <x:v>50</x:v>
      </x:c>
      <x:c r="B55" s="9"/>
      <x:c r="C55" s="9"/>
      <x:c r="D55" s="2" t="str">
        <x:f>IF(B55="","",VLOOKUP(B55,'Rythern Catalog'!$A$6:$D$466,2,FALSE))</x:f>
      </x:c>
      <x:c r="E55" s="2" t="str">
        <x:f>IF(B55="","","SW / SG")</x:f>
      </x:c>
      <x:c r="F55" s="8" t="str">
        <x:f>IF(B55="","",VLOOKUP(B55,'Rythern Catalog'!$A$6:$D$466,4,FALSE))</x:f>
      </x:c>
      <x:c r="G55" s="8" t="str">
        <x:f>IF(B55="","",IF(AND(ISNUMBER(C55),C55&gt;=0,C55&lt;=100000,C55=INT(C55)),ROUND(C55*F55,2),NA()))</x:f>
      </x:c>
      <x:c r="H55" s="2" t="str">
        <x:f>IF(B55="",IF(C55="","","Review"),IF(AND(ISNUMBER(F55),ISNUMBER(C55),C55&gt;=0,C55&lt;=100000,C55=INT(C55)),"","Review"))</x:f>
      </x:c>
    </x:row>
    <x:row r="56" ht="21" customHeight="1">
      <x:c r="A56" s="2"/>
      <x:c r="B56" s="2"/>
      <x:c r="C56" s="2"/>
      <x:c r="D56" s="2"/>
      <x:c r="E56" s="2"/>
      <x:c r="F56" s="10" t="str">
        <x:v>Cost per unit</x:v>
      </x:c>
      <x:c r="G56" s="10" t="n">
        <x:f>IF(COUNTIFS(H6:H55,"Review")&gt;0,NA(),SUM(G6:G55))</x:f>
        <x:v>0</x:v>
      </x:c>
      <x:c r="H56" s="2"/>
    </x:row>
    <x:row r="57" ht="21" customHeight="1">
      <x:c r="A57" s="2"/>
      <x:c r="B57" s="2"/>
      <x:c r="C57" s="2"/>
      <x:c r="D57" s="2"/>
      <x:c r="E57" s="2"/>
      <x:c r="F57" s="10" t="str">
        <x:v>Project cost</x:v>
      </x:c>
      <x:c r="G57" s="10" t="n">
        <x:f>IF(B3=0,0,IF(AND(ISNUMBER(B3),B3&gt;=0,B3&lt;=100000,B3=INT(B3)),ROUND(G56*B3,2),NA()))</x:f>
        <x:v>0</x:v>
      </x:c>
      <x:c r="H57" s="2"/>
    </x:row>
  </x:sheetData>
  <x:conditionalFormatting sqref="H6:H55">
    <x:cfRule type="containsText" dxfId="49" priority="1" operator="containsText" text="Review"/>
  </x:conditionalFormatting>
  <x:dataValidations count="2">
    <x:dataValidation type="whole" operator="between" sqref="C6:C55">
      <x:formula1>0</x:formula1>
      <x:formula2>100000</x:formula2>
    </x:dataValidation>
    <x:dataValidation type="whole" operator="between" sqref="B3">
      <x:formula1>0</x:formula1>
      <x:formula2>100000</x:formula2>
    </x:dataValidation>
  </x:dataValidation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30" hidden="0" customWidth="1"/>
    <x:col min="3" max="3" width="20" hidden="0" customWidth="1"/>
    <x:col min="4" max="4" width="20" hidden="0" customWidth="1"/>
    <x:col min="5" max="5" width="70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1" customHeight="1">
      <x:c r="A1" s="3" t="str">
        <x:v>Rythern DDP catalog</x:v>
      </x:c>
      <x:c r="B1" s="2"/>
      <x:c r="C1" s="2"/>
      <x:c r="D1" s="2"/>
      <x:c r="E1" s="2"/>
      <x:c r="F1" s="2"/>
      <x:c r="G1" s="2"/>
      <x:c r="H1" s="2"/>
    </x:row>
    <x:row r="2" ht="21" customHeight="1">
      <x:c r="A2" s="2" t="str">
        <x:v>Source: Rythern Master Price Sheet.xlsx · September 2026 · DDP column I</x:v>
      </x:c>
      <x:c r="B2" s="2"/>
      <x:c r="C2" s="2"/>
      <x:c r="D2" s="2"/>
      <x:c r="E2" s="2"/>
      <x:c r="F2" s="2"/>
      <x:c r="G2" s="2"/>
      <x:c r="H2" s="2"/>
    </x:row>
    <x:row r="3" ht="21" customHeight="1">
      <x:c r="A3" s="2" t="str">
        <x:v>Source SHA-256: be26181534753388c823065db331ef28b9b8d5d725e92fd591f0fd86035b371f</x:v>
      </x:c>
      <x:c r="B3" s="2"/>
      <x:c r="C3" s="2"/>
      <x:c r="D3" s="2"/>
      <x:c r="E3" s="2"/>
      <x:c r="F3" s="2"/>
      <x:c r="G3" s="2"/>
      <x:c r="H3" s="2"/>
    </x:row>
    <x:row r="4" ht="21" customHeight="1">
      <x:c r="A4" s="2" t="str">
        <x:v>Raw DDP retains source precision. Purchase costs round to cents. No discount factor applied.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Exact SKU</x:v>
      </x:c>
      <x:c r="B5" s="6" t="str">
        <x:v>Source description</x:v>
      </x:c>
      <x:c r="C5" s="6" t="str">
        <x:v>Raw DDP (USD)</x:v>
      </x:c>
      <x:c r="D5" s="6" t="str">
        <x:v>Purchase cost (USD)</x:v>
      </x:c>
      <x:c r="E5" s="6" t="str">
        <x:v>Source row</x:v>
      </x:c>
      <x:c r="F5" s="2"/>
      <x:c r="G5" s="2"/>
      <x:c r="H5" s="2"/>
    </x:row>
    <x:row r="6" ht="21" customHeight="1">
      <x:c r="A6" s="2" t="str">
        <x:v>3DB12</x:v>
      </x:c>
      <x:c r="B6" s="2" t="str">
        <x:v>3DB12</x:v>
      </x:c>
      <x:c r="C6" s="7" t="n">
        <x:v>126.67084551980253</x:v>
      </x:c>
      <x:c r="D6" s="8" t="n">
        <x:f>ROUND(C6,2)</x:f>
        <x:v>126.67</x:v>
      </x:c>
      <x:c r="E6" s="2" t="str">
        <x:v>Rythern Master Price Sheet.xlsx | MASTER PRICE SHEET!I9</x:v>
      </x:c>
      <x:c r="F6" s="2"/>
      <x:c r="G6" s="2"/>
      <x:c r="H6" s="2"/>
    </x:row>
    <x:row r="7" ht="21" customHeight="1">
      <x:c r="A7" s="2" t="str">
        <x:v>3DB15</x:v>
      </x:c>
      <x:c r="B7" s="2" t="str">
        <x:v>3DB15</x:v>
      </x:c>
      <x:c r="C7" s="7" t="n">
        <x:v>137.12186367116192</x:v>
      </x:c>
      <x:c r="D7" s="8" t="n">
        <x:f>ROUND(C7,2)</x:f>
        <x:v>137.12</x:v>
      </x:c>
      <x:c r="E7" s="2" t="str">
        <x:v>Rythern Master Price Sheet.xlsx | MASTER PRICE SHEET!I10</x:v>
      </x:c>
      <x:c r="F7" s="2"/>
      <x:c r="G7" s="2"/>
      <x:c r="H7" s="2"/>
    </x:row>
    <x:row r="8" ht="21" customHeight="1">
      <x:c r="A8" s="2" t="str">
        <x:v>3DB18</x:v>
      </x:c>
      <x:c r="B8" s="2" t="str">
        <x:v>3DB18</x:v>
      </x:c>
      <x:c r="C8" s="7" t="n">
        <x:v>147.54015530089688</x:v>
      </x:c>
      <x:c r="D8" s="8" t="n">
        <x:f>ROUND(C8,2)</x:f>
        <x:v>147.54</x:v>
      </x:c>
      <x:c r="E8" s="2" t="str">
        <x:v>Rythern Master Price Sheet.xlsx | MASTER PRICE SHEET!I11</x:v>
      </x:c>
      <x:c r="F8" s="2"/>
      <x:c r="G8" s="2"/>
      <x:c r="H8" s="2"/>
    </x:row>
    <x:row r="9" ht="21" customHeight="1">
      <x:c r="A9" s="2" t="str">
        <x:v>3DB21</x:v>
      </x:c>
      <x:c r="B9" s="2" t="str">
        <x:v>3DB21</x:v>
      </x:c>
      <x:c r="C9" s="7" t="n">
        <x:v>157.01192935345983</x:v>
      </x:c>
      <x:c r="D9" s="8" t="n">
        <x:f>ROUND(C9,2)</x:f>
        <x:v>157.01</x:v>
      </x:c>
      <x:c r="E9" s="2" t="str">
        <x:v>Rythern Master Price Sheet.xlsx | MASTER PRICE SHEET!I12</x:v>
      </x:c>
      <x:c r="F9" s="2"/>
      <x:c r="G9" s="2"/>
      <x:c r="H9" s="2"/>
    </x:row>
    <x:row r="10" ht="21" customHeight="1">
      <x:c r="A10" s="2" t="str">
        <x:v>3DB24</x:v>
      </x:c>
      <x:c r="B10" s="2" t="str">
        <x:v>3DB24</x:v>
      </x:c>
      <x:c r="C10" s="7" t="n">
        <x:v>167.35314749952485</x:v>
      </x:c>
      <x:c r="D10" s="8" t="n">
        <x:f>ROUND(C10,2)</x:f>
        <x:v>167.35</x:v>
      </x:c>
      <x:c r="E10" s="2" t="str">
        <x:v>Rythern Master Price Sheet.xlsx | MASTER PRICE SHEET!I13</x:v>
      </x:c>
      <x:c r="F10" s="2"/>
      <x:c r="G10" s="2"/>
      <x:c r="H10" s="2"/>
    </x:row>
    <x:row r="11" ht="21" customHeight="1">
      <x:c r="A11" s="2" t="str">
        <x:v>3DB30</x:v>
      </x:c>
      <x:c r="B11" s="2" t="str">
        <x:v>3DB30</x:v>
      </x:c>
      <x:c r="C11" s="7" t="n">
        <x:v>189.95705284487372</x:v>
      </x:c>
      <x:c r="D11" s="8" t="n">
        <x:f>ROUND(C11,2)</x:f>
        <x:v>189.96</x:v>
      </x:c>
      <x:c r="E11" s="2" t="str">
        <x:v>Rythern Master Price Sheet.xlsx | MASTER PRICE SHEET!I14</x:v>
      </x:c>
      <x:c r="F11" s="2"/>
      <x:c r="G11" s="2"/>
      <x:c r="H11" s="2"/>
    </x:row>
    <x:row r="12" ht="21" customHeight="1">
      <x:c r="A12" s="2" t="str">
        <x:v>3DB36</x:v>
      </x:c>
      <x:c r="B12" s="2" t="str">
        <x:v>3DB36</x:v>
      </x:c>
      <x:c r="C12" s="7" t="n">
        <x:v>205.81444145438317</x:v>
      </x:c>
      <x:c r="D12" s="8" t="n">
        <x:f>ROUND(C12,2)</x:f>
        <x:v>205.81</x:v>
      </x:c>
      <x:c r="E12" s="2" t="str">
        <x:v>Rythern Master Price Sheet.xlsx | MASTER PRICE SHEET!I15</x:v>
      </x:c>
      <x:c r="F12" s="2"/>
      <x:c r="G12" s="2"/>
      <x:c r="H12" s="2"/>
    </x:row>
    <x:row r="13" ht="21" customHeight="1">
      <x:c r="A13" s="2" t="str">
        <x:v>3VDB12</x:v>
      </x:c>
      <x:c r="B13" s="2" t="str">
        <x:v>3VDB12</x:v>
      </x:c>
      <x:c r="C13" s="7" t="n">
        <x:v>122.79757153829026</x:v>
      </x:c>
      <x:c r="D13" s="8" t="n">
        <x:f>ROUND(C13,2)</x:f>
        <x:v>122.8</x:v>
      </x:c>
      <x:c r="E13" s="2" t="str">
        <x:v>Rythern Master Price Sheet.xlsx | MASTER PRICE SHEET!I16</x:v>
      </x:c>
      <x:c r="F13" s="2"/>
      <x:c r="G13" s="2"/>
      <x:c r="H13" s="2"/>
    </x:row>
    <x:row r="14" ht="21" customHeight="1">
      <x:c r="A14" s="2" t="str">
        <x:v>3VDB15</x:v>
      </x:c>
      <x:c r="B14" s="2" t="str">
        <x:v>3VDB15</x:v>
      </x:c>
      <x:c r="C14" s="7" t="n">
        <x:v>129.15657578863028</x:v>
      </x:c>
      <x:c r="D14" s="8" t="n">
        <x:f>ROUND(C14,2)</x:f>
        <x:v>129.16</x:v>
      </x:c>
      <x:c r="E14" s="2" t="str">
        <x:v>Rythern Master Price Sheet.xlsx | MASTER PRICE SHEET!I17</x:v>
      </x:c>
      <x:c r="F14" s="2"/>
      <x:c r="G14" s="2"/>
      <x:c r="H14" s="2"/>
    </x:row>
    <x:row r="15" ht="21" customHeight="1">
      <x:c r="A15" s="2" t="str">
        <x:v>3VDB18</x:v>
      </x:c>
      <x:c r="B15" s="2" t="str">
        <x:v>3VDB18</x:v>
      </x:c>
      <x:c r="C15" s="7" t="n">
        <x:v>135.4487313132788</x:v>
      </x:c>
      <x:c r="D15" s="8" t="n">
        <x:f>ROUND(C15,2)</x:f>
        <x:v>135.45</x:v>
      </x:c>
      <x:c r="E15" s="2" t="str">
        <x:v>Rythern Master Price Sheet.xlsx | MASTER PRICE SHEET!I18</x:v>
      </x:c>
      <x:c r="F15" s="2"/>
      <x:c r="G15" s="2"/>
      <x:c r="H15" s="2"/>
    </x:row>
    <x:row r="16" ht="21" customHeight="1">
      <x:c r="A16" s="2" t="str">
        <x:v>ACM8</x:v>
      </x:c>
      <x:c r="B16" s="2" t="str">
        <x:v>ACM8</x:v>
      </x:c>
      <x:c r="C16" s="7" t="n">
        <x:v>25.62408255398162</x:v>
      </x:c>
      <x:c r="D16" s="8" t="n">
        <x:f>ROUND(C16,2)</x:f>
        <x:v>25.62</x:v>
      </x:c>
      <x:c r="E16" s="2" t="str">
        <x:v>Rythern Master Price Sheet.xlsx | MASTER PRICE SHEET!I19</x:v>
      </x:c>
      <x:c r="F16" s="2"/>
      <x:c r="G16" s="2"/>
      <x:c r="H16" s="2"/>
    </x:row>
    <x:row r="17" ht="21" customHeight="1">
      <x:c r="A17" s="2" t="str">
        <x:v>ALRM</x:v>
      </x:c>
      <x:c r="B17" s="2" t="str">
        <x:v>ALRM</x:v>
      </x:c>
      <x:c r="C17" s="7" t="n">
        <x:v>37.74124164457598</x:v>
      </x:c>
      <x:c r="D17" s="8" t="n">
        <x:f>ROUND(C17,2)</x:f>
        <x:v>37.74</x:v>
      </x:c>
      <x:c r="E17" s="2" t="str">
        <x:v>Rythern Master Price Sheet.xlsx | MASTER PRICE SHEET!I20</x:v>
      </x:c>
      <x:c r="F17" s="2"/>
      <x:c r="G17" s="2"/>
      <x:c r="H17" s="2"/>
    </x:row>
    <x:row r="18" ht="21" customHeight="1">
      <x:c r="A18" s="2" t="str">
        <x:v>AW1230</x:v>
      </x:c>
      <x:c r="B18" s="2" t="str">
        <x:v>AW1230</x:v>
      </x:c>
      <x:c r="C18" s="7" t="n">
        <x:v>52.62203337246261</x:v>
      </x:c>
      <x:c r="D18" s="8" t="n">
        <x:f>ROUND(C18,2)</x:f>
        <x:v>52.62</x:v>
      </x:c>
      <x:c r="E18" s="2" t="str">
        <x:v>Rythern Master Price Sheet.xlsx | MASTER PRICE SHEET!I21</x:v>
      </x:c>
      <x:c r="F18" s="2"/>
      <x:c r="G18" s="2"/>
      <x:c r="H18" s="2"/>
    </x:row>
    <x:row r="19" ht="21" customHeight="1">
      <x:c r="A19" s="2" t="str">
        <x:v>AW1236</x:v>
      </x:c>
      <x:c r="B19" s="2" t="str">
        <x:v>AW1236</x:v>
      </x:c>
      <x:c r="C19" s="7" t="n">
        <x:v>59.72932059345133</x:v>
      </x:c>
      <x:c r="D19" s="8" t="n">
        <x:f>ROUND(C19,2)</x:f>
        <x:v>59.73</x:v>
      </x:c>
      <x:c r="E19" s="2" t="str">
        <x:v>Rythern Master Price Sheet.xlsx | MASTER PRICE SHEET!I22</x:v>
      </x:c>
      <x:c r="F19" s="2"/>
      <x:c r="G19" s="2"/>
      <x:c r="H19" s="2"/>
    </x:row>
    <x:row r="20" ht="21" customHeight="1">
      <x:c r="A20" s="2" t="str">
        <x:v>AW1242</x:v>
      </x:c>
      <x:c r="B20" s="2" t="str">
        <x:v>AW1242</x:v>
      </x:c>
      <x:c r="C20" s="7" t="n">
        <x:v>67.71654143018417</x:v>
      </x:c>
      <x:c r="D20" s="8" t="n">
        <x:f>ROUND(C20,2)</x:f>
        <x:v>67.72</x:v>
      </x:c>
      <x:c r="E20" s="2" t="str">
        <x:v>Rythern Master Price Sheet.xlsx | MASTER PRICE SHEET!I23</x:v>
      </x:c>
      <x:c r="F20" s="2"/>
      <x:c r="G20" s="2"/>
      <x:c r="H20" s="2"/>
    </x:row>
    <x:row r="21" ht="21" customHeight="1">
      <x:c r="A21" s="2" t="str">
        <x:v>B12</x:v>
      </x:c>
      <x:c r="B21" s="2" t="str">
        <x:v>B12</x:v>
      </x:c>
      <x:c r="C21" s="7" t="n">
        <x:v>82.39236469733899</x:v>
      </x:c>
      <x:c r="D21" s="8" t="n">
        <x:f>ROUND(C21,2)</x:f>
        <x:v>82.39</x:v>
      </x:c>
      <x:c r="E21" s="2" t="str">
        <x:v>Rythern Master Price Sheet.xlsx | MASTER PRICE SHEET!I24</x:v>
      </x:c>
      <x:c r="F21" s="2"/>
      <x:c r="G21" s="2"/>
      <x:c r="H21" s="2"/>
    </x:row>
    <x:row r="22" ht="21" customHeight="1">
      <x:c r="A22" s="2" t="str">
        <x:v>B15</x:v>
      </x:c>
      <x:c r="B22" s="2" t="str">
        <x:v>B15</x:v>
      </x:c>
      <x:c r="C22" s="7" t="n">
        <x:v>91.03338192556978</x:v>
      </x:c>
      <x:c r="D22" s="8" t="n">
        <x:f>ROUND(C22,2)</x:f>
        <x:v>91.03</x:v>
      </x:c>
      <x:c r="E22" s="2" t="str">
        <x:v>Rythern Master Price Sheet.xlsx | MASTER PRICE SHEET!I25</x:v>
      </x:c>
      <x:c r="F22" s="2"/>
      <x:c r="G22" s="2"/>
      <x:c r="H22" s="2"/>
    </x:row>
    <x:row r="23" ht="21" customHeight="1">
      <x:c r="A23" s="2" t="str">
        <x:v>B15 Face Front</x:v>
      </x:c>
      <x:c r="B23" s="2" t="str">
        <x:v>B15 Face Front</x:v>
      </x:c>
      <x:c r="C23" s="7" t="n">
        <x:v>29.13421558176091</x:v>
      </x:c>
      <x:c r="D23" s="8" t="n">
        <x:f>ROUND(C23,2)</x:f>
        <x:v>29.13</x:v>
      </x:c>
      <x:c r="E23" s="2" t="str">
        <x:v>Rythern Master Price Sheet.xlsx | MASTER PRICE SHEET!I26</x:v>
      </x:c>
      <x:c r="F23" s="2"/>
      <x:c r="G23" s="2"/>
      <x:c r="H23" s="2"/>
    </x:row>
    <x:row r="24" ht="21" customHeight="1">
      <x:c r="A24" s="2" t="str">
        <x:v>B18</x:v>
      </x:c>
      <x:c r="B24" s="2" t="str">
        <x:v>B18</x:v>
      </x:c>
      <x:c r="C24" s="7" t="n">
        <x:v>99.70689210000488</x:v>
      </x:c>
      <x:c r="D24" s="8" t="n">
        <x:f>ROUND(C24,2)</x:f>
        <x:v>99.71</x:v>
      </x:c>
      <x:c r="E24" s="2" t="str">
        <x:v>Rythern Master Price Sheet.xlsx | MASTER PRICE SHEET!I27</x:v>
      </x:c>
      <x:c r="F24" s="2"/>
      <x:c r="G24" s="2"/>
      <x:c r="H24" s="2"/>
    </x:row>
    <x:row r="25" ht="21" customHeight="1">
      <x:c r="A25" s="2" t="str">
        <x:v>B21</x:v>
      </x:c>
      <x:c r="B25" s="2" t="str">
        <x:v>B21</x:v>
      </x:c>
      <x:c r="C25" s="7" t="n">
        <x:v>108.38496550145837</x:v>
      </x:c>
      <x:c r="D25" s="8" t="n">
        <x:f>ROUND(C25,2)</x:f>
        <x:v>108.38</x:v>
      </x:c>
      <x:c r="E25" s="2" t="str">
        <x:v>Rythern Master Price Sheet.xlsx | MASTER PRICE SHEET!I28</x:v>
      </x:c>
      <x:c r="F25" s="2"/>
      <x:c r="G25" s="2"/>
      <x:c r="H25" s="2"/>
    </x:row>
    <x:row r="26" ht="21" customHeight="1">
      <x:c r="A26" s="2" t="str">
        <x:v>B24</x:v>
      </x:c>
      <x:c r="B26" s="2" t="str">
        <x:v>B24</x:v>
      </x:c>
      <x:c r="C26" s="7" t="n">
        <x:v>122.41295600338084</x:v>
      </x:c>
      <x:c r="D26" s="8" t="n">
        <x:f>ROUND(C26,2)</x:f>
        <x:v>122.41</x:v>
      </x:c>
      <x:c r="E26" s="2" t="str">
        <x:v>Rythern Master Price Sheet.xlsx | MASTER PRICE SHEET!I29</x:v>
      </x:c>
      <x:c r="F26" s="2"/>
      <x:c r="G26" s="2"/>
      <x:c r="H26" s="2"/>
    </x:row>
    <x:row r="27" ht="21" customHeight="1">
      <x:c r="A27" s="2" t="str">
        <x:v>B27</x:v>
      </x:c>
      <x:c r="B27" s="2" t="str">
        <x:v>B27</x:v>
      </x:c>
      <x:c r="C27" s="7" t="n">
        <x:v>131.09161617756152</x:v>
      </x:c>
      <x:c r="D27" s="8" t="n">
        <x:f>ROUND(C27,2)</x:f>
        <x:v>131.09</x:v>
      </x:c>
      <x:c r="E27" s="2" t="str">
        <x:v>Rythern Master Price Sheet.xlsx | MASTER PRICE SHEET!I30</x:v>
      </x:c>
      <x:c r="F27" s="2"/>
      <x:c r="G27" s="2"/>
      <x:c r="H27" s="2"/>
    </x:row>
    <x:row r="28" ht="21" customHeight="1">
      <x:c r="A28" s="2" t="str">
        <x:v>B30</x:v>
      </x:c>
      <x:c r="B28" s="2" t="str">
        <x:v>B30</x:v>
      </x:c>
      <x:c r="C28" s="7" t="n">
        <x:v>157.72095709340846</x:v>
      </x:c>
      <x:c r="D28" s="8" t="n">
        <x:f>ROUND(C28,2)</x:f>
        <x:v>157.72</x:v>
      </x:c>
      <x:c r="E28" s="2" t="str">
        <x:v>Rythern Master Price Sheet.xlsx | MASTER PRICE SHEET!I31</x:v>
      </x:c>
      <x:c r="F28" s="2"/>
      <x:c r="G28" s="2"/>
      <x:c r="H28" s="2"/>
    </x:row>
    <x:row r="29" ht="21" customHeight="1">
      <x:c r="A29" s="2" t="str">
        <x:v>B33</x:v>
      </x:c>
      <x:c r="B29" s="2" t="str">
        <x:v>B33</x:v>
      </x:c>
      <x:c r="C29" s="7" t="n">
        <x:v>166.3956691260818</x:v>
      </x:c>
      <x:c r="D29" s="8" t="n">
        <x:f>ROUND(C29,2)</x:f>
        <x:v>166.4</x:v>
      </x:c>
      <x:c r="E29" s="2" t="str">
        <x:v>Rythern Master Price Sheet.xlsx | MASTER PRICE SHEET!I32</x:v>
      </x:c>
      <x:c r="F29" s="2"/>
      <x:c r="G29" s="2"/>
      <x:c r="H29" s="2"/>
    </x:row>
    <x:row r="30" ht="21" customHeight="1">
      <x:c r="A30" s="2" t="str">
        <x:v>B36</x:v>
      </x:c>
      <x:c r="B30" s="2" t="str">
        <x:v>B36</x:v>
      </x:c>
      <x:c r="C30" s="7" t="n">
        <x:v>174.9366885364851</x:v>
      </x:c>
      <x:c r="D30" s="8" t="n">
        <x:f>ROUND(C30,2)</x:f>
        <x:v>174.94</x:v>
      </x:c>
      <x:c r="E30" s="2" t="str">
        <x:v>Rythern Master Price Sheet.xlsx | MASTER PRICE SHEET!I33</x:v>
      </x:c>
      <x:c r="F30" s="2"/>
      <x:c r="G30" s="2"/>
      <x:c r="H30" s="2"/>
    </x:row>
    <x:row r="31" ht="21" customHeight="1">
      <x:c r="A31" s="2" t="str">
        <x:v>B42</x:v>
      </x:c>
      <x:c r="B31" s="2" t="str">
        <x:v>B42</x:v>
      </x:c>
      <x:c r="C31" s="7" t="n">
        <x:v>192.49371351150575</x:v>
      </x:c>
      <x:c r="D31" s="8" t="n">
        <x:f>ROUND(C31,2)</x:f>
        <x:v>192.49</x:v>
      </x:c>
      <x:c r="E31" s="2" t="str">
        <x:v>Rythern Master Price Sheet.xlsx | MASTER PRICE SHEET!I34</x:v>
      </x:c>
      <x:c r="F31" s="2"/>
      <x:c r="G31" s="2"/>
      <x:c r="H31" s="2"/>
    </x:row>
    <x:row r="32" ht="21" customHeight="1">
      <x:c r="A32" s="2" t="str">
        <x:v>BAM</x:v>
      </x:c>
      <x:c r="B32" s="2" t="str">
        <x:v>BAM</x:v>
      </x:c>
      <x:c r="C32" s="7" t="n">
        <x:v>6.131547427574117</x:v>
      </x:c>
      <x:c r="D32" s="8" t="n">
        <x:f>ROUND(C32,2)</x:f>
        <x:v>6.13</x:v>
      </x:c>
      <x:c r="E32" s="2" t="str">
        <x:v>Rythern Master Price Sheet.xlsx | MASTER PRICE SHEET!I35</x:v>
      </x:c>
      <x:c r="F32" s="2"/>
      <x:c r="G32" s="2"/>
      <x:c r="H32" s="2"/>
    </x:row>
    <x:row r="33" ht="21" customHeight="1">
      <x:c r="A33" s="2" t="str">
        <x:v>BBC36</x:v>
      </x:c>
      <x:c r="B33" s="2" t="str">
        <x:v>BBC36</x:v>
      </x:c>
      <x:c r="C33" s="7" t="n">
        <x:v>110.74640243086459</x:v>
      </x:c>
      <x:c r="D33" s="8" t="n">
        <x:f>ROUND(C33,2)</x:f>
        <x:v>110.75</x:v>
      </x:c>
      <x:c r="E33" s="2" t="str">
        <x:v>Rythern Master Price Sheet.xlsx | MASTER PRICE SHEET!I36</x:v>
      </x:c>
      <x:c r="F33" s="2"/>
      <x:c r="G33" s="2"/>
      <x:c r="H33" s="2"/>
    </x:row>
    <x:row r="34" ht="21" customHeight="1">
      <x:c r="A34" s="2" t="str">
        <x:v>BBC42</x:v>
      </x:c>
      <x:c r="B34" s="2" t="str">
        <x:v>BBC42</x:v>
      </x:c>
      <x:c r="C34" s="7" t="n">
        <x:v>131.15571478015394</x:v>
      </x:c>
      <x:c r="D34" s="8" t="n">
        <x:f>ROUND(C34,2)</x:f>
        <x:v>131.16</x:v>
      </x:c>
      <x:c r="E34" s="2" t="str">
        <x:v>Rythern Master Price Sheet.xlsx | MASTER PRICE SHEET!I37</x:v>
      </x:c>
      <x:c r="F34" s="2"/>
      <x:c r="G34" s="2"/>
      <x:c r="H34" s="2"/>
    </x:row>
    <x:row r="35" ht="21" customHeight="1">
      <x:c r="A35" s="2" t="str">
        <x:v>BBFPV4296</x:v>
      </x:c>
      <x:c r="B35" s="2" t="str">
        <x:v>BBFPV4296</x:v>
      </x:c>
      <x:c r="C35" s="7" t="n">
        <x:v>82.62196944225694</x:v>
      </x:c>
      <x:c r="D35" s="8" t="n">
        <x:f>ROUND(C35,2)</x:f>
        <x:v>82.62</x:v>
      </x:c>
      <x:c r="E35" s="2" t="str">
        <x:v>Rythern Master Price Sheet.xlsx | MASTER PRICE SHEET!I38</x:v>
      </x:c>
      <x:c r="F35" s="2"/>
      <x:c r="G35" s="2"/>
      <x:c r="H35" s="2"/>
    </x:row>
    <x:row r="36" ht="21" customHeight="1">
      <x:c r="A36" s="2" t="str">
        <x:v>BDEP</x:v>
      </x:c>
      <x:c r="B36" s="2" t="str">
        <x:v>BDEP</x:v>
      </x:c>
      <x:c r="C36" s="7" t="n">
        <x:v>29.076714980398666</x:v>
      </x:c>
      <x:c r="D36" s="8" t="n">
        <x:f>ROUND(C36,2)</x:f>
        <x:v>29.08</x:v>
      </x:c>
      <x:c r="E36" s="2" t="str">
        <x:v>Rythern Master Price Sheet.xlsx | MASTER PRICE SHEET!I39</x:v>
      </x:c>
      <x:c r="F36" s="2"/>
      <x:c r="G36" s="2"/>
      <x:c r="H36" s="2"/>
    </x:row>
    <x:row r="37" ht="21" customHeight="1">
      <x:c r="A37" s="2" t="str">
        <x:v>BEC24</x:v>
      </x:c>
      <x:c r="B37" s="2" t="str">
        <x:v>BEC24</x:v>
      </x:c>
      <x:c r="C37" s="7" t="n">
        <x:v>103.22540260864402</x:v>
      </x:c>
      <x:c r="D37" s="8" t="n">
        <x:f>ROUND(C37,2)</x:f>
        <x:v>103.23</x:v>
      </x:c>
      <x:c r="E37" s="2" t="str">
        <x:v>Rythern Master Price Sheet.xlsx | MASTER PRICE SHEET!I40</x:v>
      </x:c>
      <x:c r="F37" s="2"/>
      <x:c r="G37" s="2"/>
      <x:c r="H37" s="2"/>
    </x:row>
    <x:row r="38" ht="21" customHeight="1">
      <x:c r="A38" s="2" t="str">
        <x:v>BER33</x:v>
      </x:c>
      <x:c r="B38" s="2" t="str">
        <x:v>BER33</x:v>
      </x:c>
      <x:c r="C38" s="7" t="n">
        <x:v>136.7250888801447</x:v>
      </x:c>
      <x:c r="D38" s="8" t="n">
        <x:f>ROUND(C38,2)</x:f>
        <x:v>136.73</x:v>
      </x:c>
      <x:c r="E38" s="2" t="str">
        <x:v>Rythern Master Price Sheet.xlsx | MASTER PRICE SHEET!I41</x:v>
      </x:c>
      <x:c r="F38" s="2"/>
      <x:c r="G38" s="2"/>
      <x:c r="H38" s="2"/>
    </x:row>
    <x:row r="39" ht="21" customHeight="1">
      <x:c r="A39" s="2" t="str">
        <x:v>BER36</x:v>
      </x:c>
      <x:c r="B39" s="2" t="str">
        <x:v>BER36</x:v>
      </x:c>
      <x:c r="C39" s="7" t="n">
        <x:v>155.13353346993543</x:v>
      </x:c>
      <x:c r="D39" s="8" t="n">
        <x:f>ROUND(C39,2)</x:f>
        <x:v>155.13</x:v>
      </x:c>
      <x:c r="E39" s="2" t="str">
        <x:v>Rythern Master Price Sheet.xlsx | MASTER PRICE SHEET!I42</x:v>
      </x:c>
      <x:c r="F39" s="2"/>
      <x:c r="G39" s="2"/>
      <x:c r="H39" s="2"/>
    </x:row>
    <x:row r="40" ht="21" customHeight="1">
      <x:c r="A40" s="2" t="str">
        <x:v>BMW30</x:v>
      </x:c>
      <x:c r="B40" s="2" t="str">
        <x:v>BMW30</x:v>
      </x:c>
      <x:c r="C40" s="7" t="n">
        <x:v>152.21095862916712</x:v>
      </x:c>
      <x:c r="D40" s="8" t="n">
        <x:f>ROUND(C40,2)</x:f>
        <x:v>152.21</x:v>
      </x:c>
      <x:c r="E40" s="2" t="str">
        <x:v>Rythern Master Price Sheet.xlsx | MASTER PRICE SHEET!I43; Rythern Master Price Sheet.xlsx | MASTER PRICE SHEET!I436</x:v>
      </x:c>
      <x:c r="F40" s="2"/>
      <x:c r="G40" s="2"/>
      <x:c r="H40" s="2"/>
    </x:row>
    <x:row r="41" ht="21" customHeight="1">
      <x:c r="A41" s="2" t="str">
        <x:v>BSDC6</x:v>
      </x:c>
      <x:c r="B41" s="2" t="str">
        <x:v>BSDC6</x:v>
      </x:c>
      <x:c r="C41" s="7" t="n">
        <x:v>90.34778073244348</x:v>
      </x:c>
      <x:c r="D41" s="8" t="n">
        <x:f>ROUND(C41,2)</x:f>
        <x:v>90.35</x:v>
      </x:c>
      <x:c r="E41" s="2" t="str">
        <x:v>Rythern Master Price Sheet.xlsx | MASTER PRICE SHEET!I44</x:v>
      </x:c>
      <x:c r="F41" s="2"/>
      <x:c r="G41" s="2"/>
      <x:c r="H41" s="2"/>
    </x:row>
    <x:row r="42" ht="21" customHeight="1">
      <x:c r="A42" s="2" t="str">
        <x:v>BSV</x:v>
      </x:c>
      <x:c r="B42" s="2" t="str">
        <x:v>BSV</x:v>
      </x:c>
      <x:c r="C42" s="7" t="n">
        <x:v>11.171158933117567</x:v>
      </x:c>
      <x:c r="D42" s="8" t="n">
        <x:f>ROUND(C42,2)</x:f>
        <x:v>11.17</x:v>
      </x:c>
      <x:c r="E42" s="2" t="str">
        <x:v>Rythern Master Price Sheet.xlsx | MASTER PRICE SHEET!I45</x:v>
      </x:c>
      <x:c r="F42" s="2"/>
      <x:c r="G42" s="2"/>
      <x:c r="H42" s="2"/>
    </x:row>
    <x:row r="43" ht="21" customHeight="1">
      <x:c r="A43" s="2" t="str">
        <x:v>BT9</x:v>
      </x:c>
      <x:c r="B43" s="2" t="str">
        <x:v>BT9</x:v>
      </x:c>
      <x:c r="C43" s="7" t="n">
        <x:v>54.78723076177636</x:v>
      </x:c>
      <x:c r="D43" s="8" t="n">
        <x:f>ROUND(C43,2)</x:f>
        <x:v>54.79</x:v>
      </x:c>
      <x:c r="E43" s="2" t="str">
        <x:v>Rythern Master Price Sheet.xlsx | MASTER PRICE SHEET!I46</x:v>
      </x:c>
      <x:c r="F43" s="2"/>
      <x:c r="G43" s="2"/>
      <x:c r="H43" s="2"/>
    </x:row>
    <x:row r="44" ht="21" customHeight="1">
      <x:c r="A44" s="2" t="str">
        <x:v>CB9</x:v>
      </x:c>
      <x:c r="B44" s="2" t="str">
        <x:v>CB9</x:v>
      </x:c>
      <x:c r="C44" s="7" t="n">
        <x:v>8.947174463461923</x:v>
      </x:c>
      <x:c r="D44" s="8" t="n">
        <x:f>ROUND(C44,2)</x:f>
        <x:v>8.95</x:v>
      </x:c>
      <x:c r="E44" s="2" t="str">
        <x:v>Rythern Master Price Sheet.xlsx | MASTER PRICE SHEET!I47</x:v>
      </x:c>
      <x:c r="F44" s="2"/>
      <x:c r="G44" s="2"/>
      <x:c r="H44" s="2"/>
    </x:row>
    <x:row r="45" ht="21" customHeight="1">
      <x:c r="A45" s="2" t="str">
        <x:v>CBT</x:v>
      </x:c>
      <x:c r="B45" s="2" t="str">
        <x:v>CBT</x:v>
      </x:c>
      <x:c r="C45" s="7" t="n">
        <x:v>39.7269396052011</x:v>
      </x:c>
      <x:c r="D45" s="8" t="n">
        <x:f>ROUND(C45,2)</x:f>
        <x:v>39.73</x:v>
      </x:c>
      <x:c r="E45" s="2" t="str">
        <x:v>Rythern Master Price Sheet.xlsx | MASTER PRICE SHEET!I48</x:v>
      </x:c>
      <x:c r="F45" s="2"/>
      <x:c r="G45" s="2"/>
      <x:c r="H45" s="2"/>
    </x:row>
    <x:row r="46" ht="21" customHeight="1">
      <x:c r="A46" s="2" t="str">
        <x:v>CLDL</x:v>
      </x:c>
      <x:c r="B46" s="2" t="str">
        <x:v>CLDL</x:v>
      </x:c>
      <x:c r="C46" s="7" t="n">
        <x:v>55.052550265485436</x:v>
      </x:c>
      <x:c r="D46" s="8" t="n">
        <x:f>ROUND(C46,2)</x:f>
        <x:v>55.05</x:v>
      </x:c>
      <x:c r="E46" s="2" t="str">
        <x:v>Rythern Master Price Sheet.xlsx | MASTER PRICE SHEET!I49</x:v>
      </x:c>
      <x:c r="F46" s="2"/>
      <x:c r="G46" s="2"/>
      <x:c r="H46" s="2"/>
    </x:row>
    <x:row r="47" ht="21" customHeight="1">
      <x:c r="A47" s="2" t="str">
        <x:v>CM8</x:v>
      </x:c>
      <x:c r="B47" s="2" t="str">
        <x:v>CM8</x:v>
      </x:c>
      <x:c r="C47" s="7" t="n">
        <x:v>18.82319818199504</x:v>
      </x:c>
      <x:c r="D47" s="8" t="n">
        <x:f>ROUND(C47,2)</x:f>
        <x:v>18.82</x:v>
      </x:c>
      <x:c r="E47" s="2" t="str">
        <x:v>Rythern Master Price Sheet.xlsx | MASTER PRICE SHEET!I50</x:v>
      </x:c>
      <x:c r="F47" s="2"/>
      <x:c r="G47" s="2"/>
      <x:c r="H47" s="2"/>
    </x:row>
    <x:row r="48" ht="21" customHeight="1">
      <x:c r="A48" s="2" t="str">
        <x:v>COV</x:v>
      </x:c>
      <x:c r="B48" s="2" t="str">
        <x:v>COV</x:v>
      </x:c>
      <x:c r="C48" s="7" t="n">
        <x:v>41.30580772744368</x:v>
      </x:c>
      <x:c r="D48" s="8" t="n">
        <x:f>ROUND(C48,2)</x:f>
        <x:v>41.31</x:v>
      </x:c>
      <x:c r="E48" s="2" t="str">
        <x:v>Rythern Master Price Sheet.xlsx | MASTER PRICE SHEET!I51</x:v>
      </x:c>
      <x:c r="F48" s="2"/>
      <x:c r="G48" s="2"/>
      <x:c r="H48" s="2"/>
    </x:row>
    <x:row r="49" ht="21" customHeight="1">
      <x:c r="A49" s="2" t="str">
        <x:v>DCM</x:v>
      </x:c>
      <x:c r="B49" s="2" t="str">
        <x:v>DCM</x:v>
      </x:c>
      <x:c r="C49" s="7" t="n">
        <x:v>28.016718131254834</x:v>
      </x:c>
      <x:c r="D49" s="8" t="n">
        <x:f>ROUND(C49,2)</x:f>
        <x:v>28.02</x:v>
      </x:c>
      <x:c r="E49" s="2" t="str">
        <x:v>Rythern Master Price Sheet.xlsx | MASTER PRICE SHEET!I52</x:v>
      </x:c>
      <x:c r="F49" s="2"/>
      <x:c r="G49" s="2"/>
      <x:c r="H49" s="2"/>
    </x:row>
    <x:row r="50" ht="21" customHeight="1">
      <x:c r="A50" s="2" t="str">
        <x:v>DCSF42</x:v>
      </x:c>
      <x:c r="B50" s="2" t="str">
        <x:v>DCSF42</x:v>
      </x:c>
      <x:c r="C50" s="7" t="n">
        <x:v>45.84407002207989</x:v>
      </x:c>
      <x:c r="D50" s="8" t="n">
        <x:f>ROUND(C50,2)</x:f>
        <x:v>45.84</x:v>
      </x:c>
      <x:c r="E50" s="2" t="str">
        <x:v>Rythern Master Price Sheet.xlsx | MASTER PRICE SHEET!I53</x:v>
      </x:c>
      <x:c r="F50" s="2"/>
      <x:c r="G50" s="2"/>
      <x:c r="H50" s="2"/>
    </x:row>
    <x:row r="51" ht="21" customHeight="1">
      <x:c r="A51" s="2" t="str">
        <x:v>DCW2430</x:v>
      </x:c>
      <x:c r="B51" s="2" t="str">
        <x:v>DCW2430</x:v>
      </x:c>
      <x:c r="C51" s="7" t="n">
        <x:v>106.75080044083107</x:v>
      </x:c>
      <x:c r="D51" s="8" t="n">
        <x:f>ROUND(C51,2)</x:f>
        <x:v>106.75</x:v>
      </x:c>
      <x:c r="E51" s="2" t="str">
        <x:v>Rythern Master Price Sheet.xlsx | MASTER PRICE SHEET!I54</x:v>
      </x:c>
      <x:c r="F51" s="2"/>
      <x:c r="G51" s="2"/>
      <x:c r="H51" s="2"/>
    </x:row>
    <x:row r="52" ht="21" customHeight="1">
      <x:c r="A52" s="2" t="str">
        <x:v>DCW2430GD</x:v>
      </x:c>
      <x:c r="B52" s="2" t="str">
        <x:v>DCW2430GD</x:v>
      </x:c>
      <x:c r="C52" s="7" t="n">
        <x:v>111.68172705009707</x:v>
      </x:c>
      <x:c r="D52" s="8" t="n">
        <x:f>ROUND(C52,2)</x:f>
        <x:v>111.68</x:v>
      </x:c>
      <x:c r="E52" s="2" t="str">
        <x:v>Rythern Master Price Sheet.xlsx | MASTER PRICE SHEET!I55</x:v>
      </x:c>
      <x:c r="F52" s="2"/>
      <x:c r="G52" s="2"/>
      <x:c r="H52" s="2"/>
    </x:row>
    <x:row r="53" ht="21" customHeight="1">
      <x:c r="A53" s="2" t="str">
        <x:v>DCW2436</x:v>
      </x:c>
      <x:c r="B53" s="2" t="str">
        <x:v>DCW2436</x:v>
      </x:c>
      <x:c r="C53" s="7" t="n">
        <x:v>127.00513957519136</x:v>
      </x:c>
      <x:c r="D53" s="8" t="n">
        <x:f>ROUND(C53,2)</x:f>
        <x:v>127.01</x:v>
      </x:c>
      <x:c r="E53" s="2" t="str">
        <x:v>Rythern Master Price Sheet.xlsx | MASTER PRICE SHEET!I56</x:v>
      </x:c>
      <x:c r="F53" s="2"/>
      <x:c r="G53" s="2"/>
      <x:c r="H53" s="2"/>
    </x:row>
    <x:row r="54" ht="21" customHeight="1">
      <x:c r="A54" s="2" t="str">
        <x:v>DCW2436GD</x:v>
      </x:c>
      <x:c r="B54" s="2" t="str">
        <x:v>DCW2436GD</x:v>
      </x:c>
      <x:c r="C54" s="7" t="n">
        <x:v>132.78737587073067</x:v>
      </x:c>
      <x:c r="D54" s="8" t="n">
        <x:f>ROUND(C54,2)</x:f>
        <x:v>132.79</x:v>
      </x:c>
      <x:c r="E54" s="2" t="str">
        <x:v>Rythern Master Price Sheet.xlsx | MASTER PRICE SHEET!I57</x:v>
      </x:c>
      <x:c r="F54" s="2"/>
      <x:c r="G54" s="2"/>
      <x:c r="H54" s="2"/>
    </x:row>
    <x:row r="55" ht="21" customHeight="1">
      <x:c r="A55" s="2" t="str">
        <x:v>DCW2442</x:v>
      </x:c>
      <x:c r="B55" s="2" t="str">
        <x:v>DCW2442</x:v>
      </x:c>
      <x:c r="C55" s="7" t="n">
        <x:v>147.33570119093073</x:v>
      </x:c>
      <x:c r="D55" s="8" t="n">
        <x:f>ROUND(C55,2)</x:f>
        <x:v>147.34</x:v>
      </x:c>
      <x:c r="E55" s="2" t="str">
        <x:v>Rythern Master Price Sheet.xlsx | MASTER PRICE SHEET!I58</x:v>
      </x:c>
      <x:c r="F55" s="2"/>
      <x:c r="G55" s="2"/>
      <x:c r="H55" s="2"/>
    </x:row>
    <x:row r="56" ht="21" customHeight="1">
      <x:c r="A56" s="2" t="str">
        <x:v>DCW2442GD</x:v>
      </x:c>
      <x:c r="B56" s="2" t="str">
        <x:v>DCW2442GD</x:v>
      </x:c>
      <x:c r="C56" s="7" t="n">
        <x:v>154.0947266432206</x:v>
      </x:c>
      <x:c r="D56" s="8" t="n">
        <x:f>ROUND(C56,2)</x:f>
        <x:v>154.09</x:v>
      </x:c>
      <x:c r="E56" s="2" t="str">
        <x:v>Rythern Master Price Sheet.xlsx | MASTER PRICE SHEET!I59</x:v>
      </x:c>
      <x:c r="F56" s="2"/>
      <x:c r="G56" s="2"/>
      <x:c r="H56" s="2"/>
    </x:row>
    <x:row r="57" ht="21" customHeight="1">
      <x:c r="A57" s="2" t="str">
        <x:v>DCW2736</x:v>
      </x:c>
      <x:c r="B57" s="2" t="str">
        <x:v>DCW2736</x:v>
      </x:c>
      <x:c r="C57" s="7" t="n">
        <x:v>145.2763762646449</x:v>
      </x:c>
      <x:c r="D57" s="8" t="n">
        <x:f>ROUND(C57,2)</x:f>
        <x:v>145.28</x:v>
      </x:c>
      <x:c r="E57" s="2" t="str">
        <x:v>Rythern Master Price Sheet.xlsx | MASTER PRICE SHEET!I60</x:v>
      </x:c>
      <x:c r="F57" s="2"/>
      <x:c r="G57" s="2"/>
      <x:c r="H57" s="2"/>
    </x:row>
    <x:row r="58" ht="21" customHeight="1">
      <x:c r="A58" s="2" t="str">
        <x:v>DCW2736GD</x:v>
      </x:c>
      <x:c r="B58" s="2" t="str">
        <x:v>DCW2736GD</x:v>
      </x:c>
      <x:c r="C58" s="7" t="n">
        <x:v>144.81434230212864</x:v>
      </x:c>
      <x:c r="D58" s="8" t="n">
        <x:f>ROUND(C58,2)</x:f>
        <x:v>144.81</x:v>
      </x:c>
      <x:c r="E58" s="2" t="str">
        <x:v>Rythern Master Price Sheet.xlsx | MASTER PRICE SHEET!I61</x:v>
      </x:c>
      <x:c r="F58" s="2"/>
      <x:c r="G58" s="2"/>
      <x:c r="H58" s="2"/>
    </x:row>
    <x:row r="59" ht="21" customHeight="1">
      <x:c r="A59" s="2" t="str">
        <x:v>DCW2742</x:v>
      </x:c>
      <x:c r="B59" s="2" t="str">
        <x:v>DCW2742</x:v>
      </x:c>
      <x:c r="C59" s="7" t="n">
        <x:v>175.64423716868168</x:v>
      </x:c>
      <x:c r="D59" s="8" t="n">
        <x:f>ROUND(C59,2)</x:f>
        <x:v>175.64</x:v>
      </x:c>
      <x:c r="E59" s="2" t="str">
        <x:v>Rythern Master Price Sheet.xlsx | MASTER PRICE SHEET!I62</x:v>
      </x:c>
      <x:c r="F59" s="2"/>
      <x:c r="G59" s="2"/>
      <x:c r="H59" s="2"/>
    </x:row>
    <x:row r="60" ht="21" customHeight="1">
      <x:c r="A60" s="2" t="str">
        <x:v>DCW2742GD</x:v>
      </x:c>
      <x:c r="B60" s="2" t="str">
        <x:v>DCW2742GD</x:v>
      </x:c>
      <x:c r="C60" s="7" t="n">
        <x:v>171.7669942372181</x:v>
      </x:c>
      <x:c r="D60" s="8" t="n">
        <x:f>ROUND(C60,2)</x:f>
        <x:v>171.77</x:v>
      </x:c>
      <x:c r="E60" s="2" t="str">
        <x:v>Rythern Master Price Sheet.xlsx | MASTER PRICE SHEET!I63</x:v>
      </x:c>
      <x:c r="F60" s="2"/>
      <x:c r="G60" s="2"/>
      <x:c r="H60" s="2"/>
    </x:row>
    <x:row r="61" ht="21" customHeight="1">
      <x:c r="A61" s="2" t="str">
        <x:v>DFB18</x:v>
      </x:c>
      <x:c r="B61" s="2" t="str">
        <x:v>DFB18</x:v>
      </x:c>
      <x:c r="C61" s="7" t="n">
        <x:v>109.4213619437664</x:v>
      </x:c>
      <x:c r="D61" s="8" t="n">
        <x:f>ROUND(C61,2)</x:f>
        <x:v>109.42</x:v>
      </x:c>
      <x:c r="E61" s="2" t="str">
        <x:v>Rythern Master Price Sheet.xlsx | MASTER PRICE SHEET!I64; Rythern Master Price Sheet.xlsx | MASTER PRICE SHEET!I439</x:v>
      </x:c>
      <x:c r="F61" s="2"/>
      <x:c r="G61" s="2"/>
      <x:c r="H61" s="2"/>
    </x:row>
    <x:row r="62" ht="21" customHeight="1">
      <x:c r="A62" s="2" t="str">
        <x:v>DWR3</x:v>
      </x:c>
      <x:c r="B62" s="2" t="str">
        <x:v>DWR3</x:v>
      </x:c>
      <x:c r="C62" s="7" t="n">
        <x:v>26.66271508949808</x:v>
      </x:c>
      <x:c r="D62" s="8" t="n">
        <x:f>ROUND(C62,2)</x:f>
        <x:v>26.66</x:v>
      </x:c>
      <x:c r="E62" s="2" t="str">
        <x:v>Rythern Master Price Sheet.xlsx | MASTER PRICE SHEET!I65</x:v>
      </x:c>
      <x:c r="F62" s="2"/>
      <x:c r="G62" s="2"/>
      <x:c r="H62" s="2"/>
    </x:row>
    <x:row r="63" ht="21" customHeight="1">
      <x:c r="A63" s="2" t="str">
        <x:v>F342</x:v>
      </x:c>
      <x:c r="B63" s="2" t="str">
        <x:v>F342</x:v>
      </x:c>
      <x:c r="C63" s="7" t="n">
        <x:v>7.43347352283079</x:v>
      </x:c>
      <x:c r="D63" s="8" t="n">
        <x:f>ROUND(C63,2)</x:f>
        <x:v>7.43</x:v>
      </x:c>
      <x:c r="E63" s="2" t="str">
        <x:v>Rythern Master Price Sheet.xlsx | MASTER PRICE SHEET!I66</x:v>
      </x:c>
      <x:c r="F63" s="2"/>
      <x:c r="G63" s="2"/>
      <x:c r="H63" s="2"/>
    </x:row>
    <x:row r="64" ht="21" customHeight="1">
      <x:c r="A64" s="2" t="str">
        <x:v>F396</x:v>
      </x:c>
      <x:c r="B64" s="2" t="str">
        <x:v>F396</x:v>
      </x:c>
      <x:c r="C64" s="7" t="n">
        <x:v>24.0402726024692</x:v>
      </x:c>
      <x:c r="D64" s="8" t="n">
        <x:f>ROUND(C64,2)</x:f>
        <x:v>24.04</x:v>
      </x:c>
      <x:c r="E64" s="2" t="str">
        <x:v>Rythern Master Price Sheet.xlsx | MASTER PRICE SHEET!I67</x:v>
      </x:c>
      <x:c r="F64" s="2"/>
      <x:c r="G64" s="2"/>
      <x:c r="H64" s="2"/>
    </x:row>
    <x:row r="65" ht="21" customHeight="1">
      <x:c r="A65" s="2" t="str">
        <x:v>F642</x:v>
      </x:c>
      <x:c r="B65" s="2" t="str">
        <x:v>F642</x:v>
      </x:c>
      <x:c r="C65" s="7" t="n">
        <x:v>14.8057839697247</x:v>
      </x:c>
      <x:c r="D65" s="8" t="n">
        <x:f>ROUND(C65,2)</x:f>
        <x:v>14.81</x:v>
      </x:c>
      <x:c r="E65" s="2" t="str">
        <x:v>Rythern Master Price Sheet.xlsx | MASTER PRICE SHEET!I68</x:v>
      </x:c>
      <x:c r="F65" s="2"/>
      <x:c r="G65" s="2"/>
      <x:c r="H65" s="2"/>
    </x:row>
    <x:row r="66" ht="21" customHeight="1">
      <x:c r="A66" s="2" t="str">
        <x:v>F696</x:v>
      </x:c>
      <x:c r="B66" s="2" t="str">
        <x:v>F696</x:v>
      </x:c>
      <x:c r="C66" s="7" t="n">
        <x:v>37.92170555595011</x:v>
      </x:c>
      <x:c r="D66" s="8" t="n">
        <x:f>ROUND(C66,2)</x:f>
        <x:v>37.92</x:v>
      </x:c>
      <x:c r="E66" s="2" t="str">
        <x:v>Rythern Master Price Sheet.xlsx | MASTER PRICE SHEET!I69</x:v>
      </x:c>
      <x:c r="F66" s="2"/>
      <x:c r="G66" s="2"/>
      <x:c r="H66" s="2"/>
    </x:row>
    <x:row r="67" ht="21" customHeight="1">
      <x:c r="A67" s="2" t="str">
        <x:v>FBM</x:v>
      </x:c>
      <x:c r="B67" s="2" t="str">
        <x:v>FBM</x:v>
      </x:c>
      <x:c r="C67" s="7" t="n">
        <x:v>29.056063684372436</x:v>
      </x:c>
      <x:c r="D67" s="8" t="n">
        <x:f>ROUND(C67,2)</x:f>
        <x:v>29.06</x:v>
      </x:c>
      <x:c r="E67" s="2" t="str">
        <x:v>Rythern Master Price Sheet.xlsx | MASTER PRICE SHEET!I70</x:v>
      </x:c>
      <x:c r="F67" s="2"/>
      <x:c r="G67" s="2"/>
      <x:c r="H67" s="2"/>
    </x:row>
    <x:row r="68" ht="21" customHeight="1">
      <x:c r="A68" s="2" t="str">
        <x:v>FF396</x:v>
      </x:c>
      <x:c r="B68" s="2" t="str">
        <x:v>FF396</x:v>
      </x:c>
      <x:c r="C68" s="7" t="n">
        <x:v>26.42551379287556</x:v>
      </x:c>
      <x:c r="D68" s="8" t="n">
        <x:f>ROUND(C68,2)</x:f>
        <x:v>26.43</x:v>
      </x:c>
      <x:c r="E68" s="2" t="str">
        <x:v>Rythern Master Price Sheet.xlsx | MASTER PRICE SHEET!I71</x:v>
      </x:c>
      <x:c r="F68" s="2"/>
      <x:c r="G68" s="2"/>
      <x:c r="H68" s="2"/>
    </x:row>
    <x:row r="69" ht="21" customHeight="1">
      <x:c r="A69" s="2" t="str">
        <x:v>FLDL</x:v>
      </x:c>
      <x:c r="B69" s="2" t="str">
        <x:v>FLDL</x:v>
      </x:c>
      <x:c r="C69" s="7" t="n">
        <x:v>56.70528343464598</x:v>
      </x:c>
      <x:c r="D69" s="8" t="n">
        <x:f>ROUND(C69,2)</x:f>
        <x:v>56.71</x:v>
      </x:c>
      <x:c r="E69" s="2" t="str">
        <x:v>Rythern Master Price Sheet.xlsx | MASTER PRICE SHEET!I72</x:v>
      </x:c>
      <x:c r="F69" s="2"/>
      <x:c r="G69" s="2"/>
      <x:c r="H69" s="2"/>
    </x:row>
    <x:row r="70" ht="21" customHeight="1">
      <x:c r="A70" s="2" t="str">
        <x:v>FPV4296</x:v>
      </x:c>
      <x:c r="B70" s="2" t="str">
        <x:v>FPV4296</x:v>
      </x:c>
      <x:c r="C70" s="7" t="n">
        <x:v>37.698412231997445</x:v>
      </x:c>
      <x:c r="D70" s="8" t="n">
        <x:f>ROUND(C70,2)</x:f>
        <x:v>37.7</x:v>
      </x:c>
      <x:c r="E70" s="2" t="str">
        <x:v>Rythern Master Price Sheet.xlsx | MASTER PRICE SHEET!I73</x:v>
      </x:c>
      <x:c r="F70" s="2"/>
      <x:c r="G70" s="2"/>
      <x:c r="H70" s="2"/>
    </x:row>
    <x:row r="71" ht="21" customHeight="1">
      <x:c r="A71" s="2" t="str">
        <x:v>FSB36</x:v>
      </x:c>
      <x:c r="B71" s="2" t="str">
        <x:v>FSB36</x:v>
      </x:c>
      <x:c r="C71" s="7" t="n">
        <x:v>122.23373136307025</x:v>
      </x:c>
      <x:c r="D71" s="8" t="n">
        <x:f>ROUND(C71,2)</x:f>
        <x:v>122.23</x:v>
      </x:c>
      <x:c r="E71" s="2" t="str">
        <x:v>Rythern Master Price Sheet.xlsx | MASTER PRICE SHEET!I74</x:v>
      </x:c>
      <x:c r="F71" s="2"/>
      <x:c r="G71" s="2"/>
      <x:c r="H71" s="2"/>
    </x:row>
    <x:row r="72" ht="21" customHeight="1">
      <x:c r="A72" s="2" t="str">
        <x:v>LRM</x:v>
      </x:c>
      <x:c r="B72" s="2" t="str">
        <x:v>LRM</x:v>
      </x:c>
      <x:c r="C72" s="7" t="n">
        <x:v>31.680394675222082</x:v>
      </x:c>
      <x:c r="D72" s="8" t="n">
        <x:f>ROUND(C72,2)</x:f>
        <x:v>31.68</x:v>
      </x:c>
      <x:c r="E72" s="2" t="str">
        <x:v>Rythern Master Price Sheet.xlsx | MASTER PRICE SHEET!I75</x:v>
      </x:c>
      <x:c r="F72" s="2"/>
      <x:c r="G72" s="2"/>
      <x:c r="H72" s="2"/>
    </x:row>
    <x:row r="73" ht="21" customHeight="1">
      <x:c r="A73" s="2" t="str">
        <x:v>MO3030</x:v>
      </x:c>
      <x:c r="B73" s="2" t="str">
        <x:v>MO3030</x:v>
      </x:c>
      <x:c r="C73" s="7" t="n">
        <x:v>144.56092639887905</x:v>
      </x:c>
      <x:c r="D73" s="8" t="n">
        <x:f>ROUND(C73,2)</x:f>
        <x:v>144.56</x:v>
      </x:c>
      <x:c r="E73" s="2" t="str">
        <x:v>Rythern Master Price Sheet.xlsx | MASTER PRICE SHEET!I76</x:v>
      </x:c>
      <x:c r="F73" s="2"/>
      <x:c r="G73" s="2"/>
      <x:c r="H73" s="2"/>
    </x:row>
    <x:row r="74" ht="21" customHeight="1">
      <x:c r="A74" s="2" t="str">
        <x:v>MO3036</x:v>
      </x:c>
      <x:c r="B74" s="2" t="str">
        <x:v>MO3036</x:v>
      </x:c>
      <x:c r="C74" s="7" t="n">
        <x:v>151.57594074804618</x:v>
      </x:c>
      <x:c r="D74" s="8" t="n">
        <x:f>ROUND(C74,2)</x:f>
        <x:v>151.58</x:v>
      </x:c>
      <x:c r="E74" s="2" t="str">
        <x:v>Rythern Master Price Sheet.xlsx | MASTER PRICE SHEET!I77</x:v>
      </x:c>
      <x:c r="F74" s="2"/>
      <x:c r="G74" s="2"/>
      <x:c r="H74" s="2"/>
    </x:row>
    <x:row r="75" ht="21" customHeight="1">
      <x:c r="A75" s="2" t="str">
        <x:v>MO3042</x:v>
      </x:c>
      <x:c r="B75" s="2" t="str">
        <x:v>MO3042</x:v>
      </x:c>
      <x:c r="C75" s="7" t="n">
        <x:v>167.53129447080323</x:v>
      </x:c>
      <x:c r="D75" s="8" t="n">
        <x:f>ROUND(C75,2)</x:f>
        <x:v>167.53</x:v>
      </x:c>
      <x:c r="E75" s="2" t="str">
        <x:v>Rythern Master Price Sheet.xlsx | MASTER PRICE SHEET!I78</x:v>
      </x:c>
      <x:c r="F75" s="2"/>
      <x:c r="G75" s="2"/>
      <x:c r="H75" s="2"/>
    </x:row>
    <x:row r="76" ht="21" customHeight="1">
      <x:c r="A76" s="2" t="str">
        <x:v>O338424</x:v>
      </x:c>
      <x:c r="B76" s="2" t="str">
        <x:v>O338424</x:v>
      </x:c>
      <x:c r="C76" s="7" t="n">
        <x:v>380.4013741364503</x:v>
      </x:c>
      <x:c r="D76" s="8" t="n">
        <x:f>ROUND(C76,2)</x:f>
        <x:v>380.4</x:v>
      </x:c>
      <x:c r="E76" s="2" t="str">
        <x:v>Rythern Master Price Sheet.xlsx | MASTER PRICE SHEET!I79</x:v>
      </x:c>
      <x:c r="F76" s="2"/>
      <x:c r="G76" s="2"/>
      <x:c r="H76" s="2"/>
    </x:row>
    <x:row r="77" ht="21" customHeight="1">
      <x:c r="A77" s="2" t="str">
        <x:v>O339024</x:v>
      </x:c>
      <x:c r="B77" s="2" t="str">
        <x:v>O339024</x:v>
      </x:c>
      <x:c r="C77" s="7" t="n">
        <x:v>410.6648051847879</x:v>
      </x:c>
      <x:c r="D77" s="8" t="n">
        <x:f>ROUND(C77,2)</x:f>
        <x:v>410.66</x:v>
      </x:c>
      <x:c r="E77" s="2" t="str">
        <x:v>Rythern Master Price Sheet.xlsx | MASTER PRICE SHEET!I80</x:v>
      </x:c>
      <x:c r="F77" s="2"/>
      <x:c r="G77" s="2"/>
      <x:c r="H77" s="2"/>
    </x:row>
    <x:row r="78" ht="21" customHeight="1">
      <x:c r="A78" s="2" t="str">
        <x:v>O339624</x:v>
      </x:c>
      <x:c r="B78" s="2" t="str">
        <x:v>O339624</x:v>
      </x:c>
      <x:c r="C78" s="7" t="n">
        <x:v>428.35081047227686</x:v>
      </x:c>
      <x:c r="D78" s="8" t="n">
        <x:f>ROUND(C78,2)</x:f>
        <x:v>428.35</x:v>
      </x:c>
      <x:c r="E78" s="2" t="str">
        <x:v>Rythern Master Price Sheet.xlsx | MASTER PRICE SHEET!I81</x:v>
      </x:c>
      <x:c r="F78" s="2"/>
      <x:c r="G78" s="2"/>
      <x:c r="H78" s="2"/>
    </x:row>
    <x:row r="79" ht="21" customHeight="1">
      <x:c r="A79" s="2" t="str">
        <x:v>OCM</x:v>
      </x:c>
      <x:c r="B79" s="2" t="str">
        <x:v>OCM</x:v>
      </x:c>
      <x:c r="C79" s="7" t="n">
        <x:v>12.900209645893968</x:v>
      </x:c>
      <x:c r="D79" s="8" t="n">
        <x:f>ROUND(C79,2)</x:f>
        <x:v>12.9</x:v>
      </x:c>
      <x:c r="E79" s="2" t="str">
        <x:v>Rythern Master Price Sheet.xlsx | MASTER PRICE SHEET!I82</x:v>
      </x:c>
      <x:c r="F79" s="2"/>
      <x:c r="G79" s="2"/>
      <x:c r="H79" s="2"/>
    </x:row>
    <x:row r="80" ht="21" customHeight="1">
      <x:c r="A80" s="2" t="str">
        <x:v>OE630</x:v>
      </x:c>
      <x:c r="B80" s="2" t="str">
        <x:v>OE630</x:v>
      </x:c>
      <x:c r="C80" s="7" t="n">
        <x:v>29.7088974562577</x:v>
      </x:c>
      <x:c r="D80" s="8" t="n">
        <x:f>ROUND(C80,2)</x:f>
        <x:v>29.71</x:v>
      </x:c>
      <x:c r="E80" s="2" t="str">
        <x:v>Rythern Master Price Sheet.xlsx | MASTER PRICE SHEET!I83</x:v>
      </x:c>
      <x:c r="F80" s="2"/>
      <x:c r="G80" s="2"/>
      <x:c r="H80" s="2"/>
    </x:row>
    <x:row r="81" ht="21" customHeight="1">
      <x:c r="A81" s="2" t="str">
        <x:v>OE636</x:v>
      </x:c>
      <x:c r="B81" s="2" t="str">
        <x:v>OE636</x:v>
      </x:c>
      <x:c r="C81" s="7" t="n">
        <x:v>31.886585008639262</x:v>
      </x:c>
      <x:c r="D81" s="8" t="n">
        <x:f>ROUND(C81,2)</x:f>
        <x:v>31.89</x:v>
      </x:c>
      <x:c r="E81" s="2" t="str">
        <x:v>Rythern Master Price Sheet.xlsx | MASTER PRICE SHEET!I84</x:v>
      </x:c>
      <x:c r="F81" s="2"/>
      <x:c r="G81" s="2"/>
      <x:c r="H81" s="2"/>
    </x:row>
    <x:row r="82" ht="21" customHeight="1">
      <x:c r="A82" s="2" t="str">
        <x:v>OE642</x:v>
      </x:c>
      <x:c r="B82" s="2" t="str">
        <x:v>OE642</x:v>
      </x:c>
      <x:c r="C82" s="7" t="n">
        <x:v>34.06479890729368</x:v>
      </x:c>
      <x:c r="D82" s="8" t="n">
        <x:f>ROUND(C82,2)</x:f>
        <x:v>34.06</x:v>
      </x:c>
      <x:c r="E82" s="2" t="str">
        <x:v>Rythern Master Price Sheet.xlsx | MASTER PRICE SHEET!I85</x:v>
      </x:c>
      <x:c r="F82" s="2"/>
      <x:c r="G82" s="2"/>
      <x:c r="H82" s="2"/>
    </x:row>
    <x:row r="83" ht="21" customHeight="1">
      <x:c r="A83" s="2" t="str">
        <x:v>PR3015</x:v>
      </x:c>
      <x:c r="B83" s="2" t="str">
        <x:v>PR3015</x:v>
      </x:c>
      <x:c r="C83" s="7" t="n">
        <x:v>87.62234593864729</x:v>
      </x:c>
      <x:c r="D83" s="8" t="n">
        <x:f>ROUND(C83,2)</x:f>
        <x:v>87.62</x:v>
      </x:c>
      <x:c r="E83" s="2" t="str">
        <x:v>Rythern Master Price Sheet.xlsx | MASTER PRICE SHEET!I86</x:v>
      </x:c>
      <x:c r="F83" s="2"/>
      <x:c r="G83" s="2"/>
      <x:c r="H83" s="2"/>
    </x:row>
    <x:row r="84" ht="21" customHeight="1">
      <x:c r="A84" s="2" t="str">
        <x:v>REPV2496</x:v>
      </x:c>
      <x:c r="B84" s="2" t="str">
        <x:v>REPV2496</x:v>
      </x:c>
      <x:c r="C84" s="7" t="n">
        <x:v>52.19976663609615</x:v>
      </x:c>
      <x:c r="D84" s="8" t="n">
        <x:f>ROUND(C84,2)</x:f>
        <x:v>52.2</x:v>
      </x:c>
      <x:c r="E84" s="2" t="str">
        <x:v>Rythern Master Price Sheet.xlsx | MASTER PRICE SHEET!I87</x:v>
      </x:c>
      <x:c r="F84" s="2"/>
      <x:c r="G84" s="2"/>
      <x:c r="H84" s="2"/>
    </x:row>
    <x:row r="85" ht="21" customHeight="1">
      <x:c r="A85" s="2" t="str">
        <x:v>RS18-TYPEA</x:v>
      </x:c>
      <x:c r="B85" s="2" t="str">
        <x:v>RS18-TYPEA</x:v>
      </x:c>
      <x:c r="C85" s="7" t="n">
        <x:v>23.71675436133104</x:v>
      </x:c>
      <x:c r="D85" s="8" t="n">
        <x:f>ROUND(C85,2)</x:f>
        <x:v>23.72</x:v>
      </x:c>
      <x:c r="E85" s="2" t="str">
        <x:v>Rythern Master Price Sheet.xlsx | MASTER PRICE SHEET!I88</x:v>
      </x:c>
      <x:c r="F85" s="2"/>
      <x:c r="G85" s="2"/>
      <x:c r="H85" s="2"/>
    </x:row>
    <x:row r="86" ht="21" customHeight="1">
      <x:c r="A86" s="2" t="str">
        <x:v>RS21-TYPEA</x:v>
      </x:c>
      <x:c r="B86" s="2" t="str">
        <x:v>RS21-TYPEA</x:v>
      </x:c>
      <x:c r="C86" s="7" t="n">
        <x:v>25.65943591321193</x:v>
      </x:c>
      <x:c r="D86" s="8" t="n">
        <x:f>ROUND(C86,2)</x:f>
        <x:v>25.66</x:v>
      </x:c>
      <x:c r="E86" s="2" t="str">
        <x:v>Rythern Master Price Sheet.xlsx | MASTER PRICE SHEET!I89</x:v>
      </x:c>
      <x:c r="F86" s="2"/>
      <x:c r="G86" s="2"/>
      <x:c r="H86" s="2"/>
    </x:row>
    <x:row r="87" ht="21" customHeight="1">
      <x:c r="A87" s="2" t="str">
        <x:v>RS24-TYPEA</x:v>
      </x:c>
      <x:c r="B87" s="2" t="str">
        <x:v>RS24-TYPEA</x:v>
      </x:c>
      <x:c r="C87" s="7" t="n">
        <x:v>27.59260806948181</x:v>
      </x:c>
      <x:c r="D87" s="8" t="n">
        <x:f>ROUND(C87,2)</x:f>
        <x:v>27.59</x:v>
      </x:c>
      <x:c r="E87" s="2" t="str">
        <x:v>Rythern Master Price Sheet.xlsx | MASTER PRICE SHEET!I90</x:v>
      </x:c>
      <x:c r="F87" s="2"/>
      <x:c r="G87" s="2"/>
      <x:c r="H87" s="2"/>
    </x:row>
    <x:row r="88" ht="21" customHeight="1">
      <x:c r="A88" s="2" t="str">
        <x:v>RS27-TYPEA</x:v>
      </x:c>
      <x:c r="B88" s="2" t="str">
        <x:v>RS27-TYPEA</x:v>
      </x:c>
      <x:c r="C88" s="7" t="n">
        <x:v>29.472532042034832</x:v>
      </x:c>
      <x:c r="D88" s="8" t="n">
        <x:f>ROUND(C88,2)</x:f>
        <x:v>29.47</x:v>
      </x:c>
      <x:c r="E88" s="2" t="str">
        <x:v>Rythern Master Price Sheet.xlsx | MASTER PRICE SHEET!I91</x:v>
      </x:c>
      <x:c r="F88" s="2"/>
      <x:c r="G88" s="2"/>
      <x:c r="H88" s="2"/>
    </x:row>
    <x:row r="89" ht="21" customHeight="1">
      <x:c r="A89" s="2" t="str">
        <x:v>RS30-TYPEA</x:v>
      </x:c>
      <x:c r="B89" s="2" t="str">
        <x:v>RS30-TYPEA</x:v>
      </x:c>
      <x:c r="C89" s="7" t="n">
        <x:v>31.26513016342054</x:v>
      </x:c>
      <x:c r="D89" s="8" t="n">
        <x:f>ROUND(C89,2)</x:f>
        <x:v>31.27</x:v>
      </x:c>
      <x:c r="E89" s="2" t="str">
        <x:v>Rythern Master Price Sheet.xlsx | MASTER PRICE SHEET!I92</x:v>
      </x:c>
      <x:c r="F89" s="2"/>
      <x:c r="G89" s="2"/>
      <x:c r="H89" s="2"/>
    </x:row>
    <x:row r="90" ht="21" customHeight="1">
      <x:c r="A90" s="2" t="str">
        <x:v>RS33-TYPEA</x:v>
      </x:c>
      <x:c r="B90" s="2" t="str">
        <x:v>RS33-TYPEA</x:v>
      </x:c>
      <x:c r="C90" s="7" t="n">
        <x:v>33.03124107624602</x:v>
      </x:c>
      <x:c r="D90" s="8" t="n">
        <x:f>ROUND(C90,2)</x:f>
        <x:v>33.03</x:v>
      </x:c>
      <x:c r="E90" s="2" t="str">
        <x:v>Rythern Master Price Sheet.xlsx | MASTER PRICE SHEET!I93</x:v>
      </x:c>
      <x:c r="F90" s="2"/>
      <x:c r="G90" s="2"/>
      <x:c r="H90" s="2"/>
    </x:row>
    <x:row r="91" ht="21" customHeight="1">
      <x:c r="A91" s="2" t="str">
        <x:v>RS36-TYPEA</x:v>
      </x:c>
      <x:c r="B91" s="2" t="str">
        <x:v>RS36-TYPEA</x:v>
      </x:c>
      <x:c r="C91" s="7" t="n">
        <x:v>34.85912546366638</x:v>
      </x:c>
      <x:c r="D91" s="8" t="n">
        <x:f>ROUND(C91,2)</x:f>
        <x:v>34.86</x:v>
      </x:c>
      <x:c r="E91" s="2" t="str">
        <x:v>Rythern Master Price Sheet.xlsx | MASTER PRICE SHEET!I94</x:v>
      </x:c>
      <x:c r="F91" s="2"/>
      <x:c r="G91" s="2"/>
      <x:c r="H91" s="2"/>
    </x:row>
    <x:row r="92" ht="21" customHeight="1">
      <x:c r="A92" s="2" t="str">
        <x:v>S2496</x:v>
      </x:c>
      <x:c r="B92" s="2" t="str">
        <x:v>S2496</x:v>
      </x:c>
      <x:c r="C92" s="7" t="n">
        <x:v>51.13226381589062</x:v>
      </x:c>
      <x:c r="D92" s="8" t="n">
        <x:f>ROUND(C92,2)</x:f>
        <x:v>51.13</x:v>
      </x:c>
      <x:c r="E92" s="2" t="str">
        <x:v>Rythern Master Price Sheet.xlsx | MASTER PRICE SHEET!I95</x:v>
      </x:c>
      <x:c r="F92" s="2"/>
      <x:c r="G92" s="2"/>
      <x:c r="H92" s="2"/>
    </x:row>
    <x:row r="93" ht="21" customHeight="1">
      <x:c r="A93" s="2" t="str">
        <x:v>SB30</x:v>
      </x:c>
      <x:c r="B93" s="2" t="str">
        <x:v>SB30</x:v>
      </x:c>
      <x:c r="C93" s="7" t="n">
        <x:v>101.4942784618074</x:v>
      </x:c>
      <x:c r="D93" s="8" t="n">
        <x:f>ROUND(C93,2)</x:f>
        <x:v>101.49</x:v>
      </x:c>
      <x:c r="E93" s="2" t="str">
        <x:v>Rythern Master Price Sheet.xlsx | MASTER PRICE SHEET!I96</x:v>
      </x:c>
      <x:c r="F93" s="2"/>
      <x:c r="G93" s="2"/>
      <x:c r="H93" s="2"/>
    </x:row>
    <x:row r="94" ht="21" customHeight="1">
      <x:c r="A94" s="2" t="str">
        <x:v>SB33</x:v>
      </x:c>
      <x:c r="B94" s="2" t="str">
        <x:v>SB33</x:v>
      </x:c>
      <x:c r="C94" s="7" t="n">
        <x:v>111.95392989651144</x:v>
      </x:c>
      <x:c r="D94" s="8" t="n">
        <x:f>ROUND(C94,2)</x:f>
        <x:v>111.95</x:v>
      </x:c>
      <x:c r="E94" s="2" t="str">
        <x:v>Rythern Master Price Sheet.xlsx | MASTER PRICE SHEET!I97</x:v>
      </x:c>
      <x:c r="F94" s="2"/>
      <x:c r="G94" s="2"/>
      <x:c r="H94" s="2"/>
    </x:row>
    <x:row r="95" ht="21" customHeight="1">
      <x:c r="A95" s="2" t="str">
        <x:v>SB36</x:v>
      </x:c>
      <x:c r="B95" s="2" t="str">
        <x:v>SB36</x:v>
      </x:c>
      <x:c r="C95" s="7" t="n">
        <x:v>121.8279796700515</x:v>
      </x:c>
      <x:c r="D95" s="8" t="n">
        <x:f>ROUND(C95,2)</x:f>
        <x:v>121.83</x:v>
      </x:c>
      <x:c r="E95" s="2" t="str">
        <x:v>Rythern Master Price Sheet.xlsx | MASTER PRICE SHEET!I98</x:v>
      </x:c>
      <x:c r="F95" s="2"/>
      <x:c r="G95" s="2"/>
      <x:c r="H95" s="2"/>
    </x:row>
    <x:row r="96" ht="21" customHeight="1">
      <x:c r="A96" s="2" t="str">
        <x:v>SBF4242</x:v>
      </x:c>
      <x:c r="B96" s="2" t="str">
        <x:v>SBF4242</x:v>
      </x:c>
      <x:c r="C96" s="7" t="n">
        <x:v>21.16379881126766</x:v>
      </x:c>
      <x:c r="D96" s="8" t="n">
        <x:f>ROUND(C96,2)</x:f>
        <x:v>21.16</x:v>
      </x:c>
      <x:c r="E96" s="2" t="str">
        <x:v>Rythern Master Price Sheet.xlsx | MASTER PRICE SHEET!I99</x:v>
      </x:c>
      <x:c r="F96" s="2"/>
      <x:c r="G96" s="2"/>
      <x:c r="H96" s="2"/>
    </x:row>
    <x:row r="97" ht="21" customHeight="1">
      <x:c r="A97" s="2" t="str">
        <x:v>SCR</x:v>
      </x:c>
      <x:c r="B97" s="2" t="str">
        <x:v>SCR</x:v>
      </x:c>
      <x:c r="C97" s="7" t="n">
        <x:v>3.3881166720508302</x:v>
      </x:c>
      <x:c r="D97" s="8" t="n">
        <x:f>ROUND(C97,2)</x:f>
        <x:v>3.39</x:v>
      </x:c>
      <x:c r="E97" s="2" t="str">
        <x:v>Rythern Master Price Sheet.xlsx | MASTER PRICE SHEET!I100</x:v>
      </x:c>
      <x:c r="F97" s="2"/>
      <x:c r="G97" s="2"/>
      <x:c r="H97" s="2"/>
    </x:row>
    <x:row r="98" ht="21" customHeight="1">
      <x:c r="A98" s="2" t="str">
        <x:v>SGH30</x:v>
      </x:c>
      <x:c r="B98" s="2" t="str">
        <x:v>SGH30</x:v>
      </x:c>
      <x:c r="C98" s="7" t="n">
        <x:v>28.945555673091828</x:v>
      </x:c>
      <x:c r="D98" s="8" t="n">
        <x:f>ROUND(C98,2)</x:f>
        <x:v>28.95</x:v>
      </x:c>
      <x:c r="E98" s="2" t="str">
        <x:v>Rythern Master Price Sheet.xlsx | MASTER PRICE SHEET!I101</x:v>
      </x:c>
      <x:c r="F98" s="2"/>
      <x:c r="G98" s="2"/>
      <x:c r="H98" s="2"/>
    </x:row>
    <x:row r="99" ht="21" customHeight="1">
      <x:c r="A99" s="2" t="str">
        <x:v>SHM</x:v>
      </x:c>
      <x:c r="B99" s="2" t="str">
        <x:v>SHM</x:v>
      </x:c>
      <x:c r="C99" s="7" t="n">
        <x:v>9.712074277347742</x:v>
      </x:c>
      <x:c r="D99" s="8" t="n">
        <x:f>ROUND(C99,2)</x:f>
        <x:v>9.71</x:v>
      </x:c>
      <x:c r="E99" s="2" t="str">
        <x:v>Rythern Master Price Sheet.xlsx | MASTER PRICE SHEET!I102</x:v>
      </x:c>
      <x:c r="F99" s="2"/>
      <x:c r="G99" s="2"/>
      <x:c r="H99" s="2"/>
    </x:row>
    <x:row r="100" ht="21" customHeight="1">
      <x:c r="A100" s="2" t="str">
        <x:v>TDEP2484</x:v>
      </x:c>
      <x:c r="B100" s="2" t="str">
        <x:v>TDEP2484</x:v>
      </x:c>
      <x:c r="C100" s="7" t="n">
        <x:v>70.66788968184699</x:v>
      </x:c>
      <x:c r="D100" s="8" t="n">
        <x:f>ROUND(C100,2)</x:f>
        <x:v>70.67</x:v>
      </x:c>
      <x:c r="E100" s="2" t="str">
        <x:v>Rythern Master Price Sheet.xlsx | MASTER PRICE SHEET!I103</x:v>
      </x:c>
      <x:c r="F100" s="2"/>
      <x:c r="G100" s="2"/>
      <x:c r="H100" s="2"/>
    </x:row>
    <x:row r="101" ht="21" customHeight="1">
      <x:c r="A101" s="2" t="str">
        <x:v>TDEP2490</x:v>
      </x:c>
      <x:c r="B101" s="2" t="str">
        <x:v>TDEP2490</x:v>
      </x:c>
      <x:c r="C101" s="7" t="n">
        <x:v>75.55754738854014</x:v>
      </x:c>
      <x:c r="D101" s="8" t="n">
        <x:f>ROUND(C101,2)</x:f>
        <x:v>75.56</x:v>
      </x:c>
      <x:c r="E101" s="2" t="str">
        <x:v>Rythern Master Price Sheet.xlsx | MASTER PRICE SHEET!I104</x:v>
      </x:c>
      <x:c r="F101" s="2"/>
      <x:c r="G101" s="2"/>
      <x:c r="H101" s="2"/>
    </x:row>
    <x:row r="102" ht="21" customHeight="1">
      <x:c r="A102" s="2" t="str">
        <x:v>TDEP2496</x:v>
      </x:c>
      <x:c r="B102" s="2" t="str">
        <x:v>TDEP2496</x:v>
      </x:c>
      <x:c r="C102" s="7" t="n">
        <x:v>80.47449017320326</x:v>
      </x:c>
      <x:c r="D102" s="8" t="n">
        <x:f>ROUND(C102,2)</x:f>
        <x:v>80.47</x:v>
      </x:c>
      <x:c r="E102" s="2" t="str">
        <x:v>Rythern Master Price Sheet.xlsx | MASTER PRICE SHEET!I105</x:v>
      </x:c>
      <x:c r="F102" s="2"/>
      <x:c r="G102" s="2"/>
      <x:c r="H102" s="2"/>
    </x:row>
    <x:row r="103" ht="21" customHeight="1">
      <x:c r="A103" s="2" t="str">
        <x:v>TKC</x:v>
      </x:c>
      <x:c r="B103" s="2" t="str">
        <x:v>TKC</x:v>
      </x:c>
      <x:c r="C103" s="7" t="n">
        <x:v>6.849776488967571</x:v>
      </x:c>
      <x:c r="D103" s="8" t="n">
        <x:f>ROUND(C103,2)</x:f>
        <x:v>6.85</x:v>
      </x:c>
      <x:c r="E103" s="2" t="str">
        <x:v>Rythern Master Price Sheet.xlsx | MASTER PRICE SHEET!I106</x:v>
      </x:c>
      <x:c r="F103" s="2"/>
      <x:c r="G103" s="2"/>
      <x:c r="H103" s="2"/>
    </x:row>
    <x:row r="104" ht="21" customHeight="1">
      <x:c r="A104" s="2" t="str">
        <x:v>U188424</x:v>
      </x:c>
      <x:c r="B104" s="2" t="str">
        <x:v>U188424</x:v>
      </x:c>
      <x:c r="C104" s="7" t="n">
        <x:v>233.73791132309188</x:v>
      </x:c>
      <x:c r="D104" s="8" t="n">
        <x:f>ROUND(C104,2)</x:f>
        <x:v>233.74</x:v>
      </x:c>
      <x:c r="E104" s="2" t="str">
        <x:v>Rythern Master Price Sheet.xlsx | MASTER PRICE SHEET!I107</x:v>
      </x:c>
      <x:c r="F104" s="2"/>
      <x:c r="G104" s="2"/>
      <x:c r="H104" s="2"/>
    </x:row>
    <x:row r="105" ht="21" customHeight="1">
      <x:c r="A105" s="2" t="str">
        <x:v>U189024</x:v>
      </x:c>
      <x:c r="B105" s="2" t="str">
        <x:v>U189024</x:v>
      </x:c>
      <x:c r="C105" s="7" t="n">
        <x:v>240.98135277568036</x:v>
      </x:c>
      <x:c r="D105" s="8" t="n">
        <x:f>ROUND(C105,2)</x:f>
        <x:v>240.98</x:v>
      </x:c>
      <x:c r="E105" s="2" t="str">
        <x:v>Rythern Master Price Sheet.xlsx | MASTER PRICE SHEET!I108</x:v>
      </x:c>
      <x:c r="F105" s="2"/>
      <x:c r="G105" s="2"/>
      <x:c r="H105" s="2"/>
    </x:row>
    <x:row r="106" ht="21" customHeight="1">
      <x:c r="A106" s="2" t="str">
        <x:v>U189624</x:v>
      </x:c>
      <x:c r="B106" s="2" t="str">
        <x:v>U189624</x:v>
      </x:c>
      <x:c r="C106" s="7" t="n">
        <x:v>251.8105675294808</x:v>
      </x:c>
      <x:c r="D106" s="8" t="n">
        <x:f>ROUND(C106,2)</x:f>
        <x:v>251.81</x:v>
      </x:c>
      <x:c r="E106" s="2" t="str">
        <x:v>Rythern Master Price Sheet.xlsx | MASTER PRICE SHEET!I109</x:v>
      </x:c>
      <x:c r="F106" s="2"/>
      <x:c r="G106" s="2"/>
      <x:c r="H106" s="2"/>
    </x:row>
    <x:row r="107" ht="21" customHeight="1">
      <x:c r="A107" s="2" t="str">
        <x:v>U248424</x:v>
      </x:c>
      <x:c r="B107" s="2" t="str">
        <x:v>U248424</x:v>
      </x:c>
      <x:c r="C107" s="7" t="n">
        <x:v>256.2406374052576</x:v>
      </x:c>
      <x:c r="D107" s="8" t="n">
        <x:f>ROUND(C107,2)</x:f>
        <x:v>256.24</x:v>
      </x:c>
      <x:c r="E107" s="2" t="str">
        <x:v>Rythern Master Price Sheet.xlsx | MASTER PRICE SHEET!I110</x:v>
      </x:c>
      <x:c r="F107" s="2"/>
      <x:c r="G107" s="2"/>
      <x:c r="H107" s="2"/>
    </x:row>
    <x:row r="108" ht="21" customHeight="1">
      <x:c r="A108" s="2" t="str">
        <x:v>U249024</x:v>
      </x:c>
      <x:c r="B108" s="2" t="str">
        <x:v>U249024</x:v>
      </x:c>
      <x:c r="C108" s="7" t="n">
        <x:v>274.7662803350534</x:v>
      </x:c>
      <x:c r="D108" s="8" t="n">
        <x:f>ROUND(C108,2)</x:f>
        <x:v>274.77</x:v>
      </x:c>
      <x:c r="E108" s="2" t="str">
        <x:v>Rythern Master Price Sheet.xlsx | MASTER PRICE SHEET!I111</x:v>
      </x:c>
      <x:c r="F108" s="2"/>
      <x:c r="G108" s="2"/>
      <x:c r="H108" s="2"/>
    </x:row>
    <x:row r="109" ht="21" customHeight="1">
      <x:c r="A109" s="2" t="str">
        <x:v>U249624</x:v>
      </x:c>
      <x:c r="B109" s="2" t="str">
        <x:v>U249624</x:v>
      </x:c>
      <x:c r="C109" s="7" t="n">
        <x:v>296.8811325684112</x:v>
      </x:c>
      <x:c r="D109" s="8" t="n">
        <x:f>ROUND(C109,2)</x:f>
        <x:v>296.88</x:v>
      </x:c>
      <x:c r="E109" s="2" t="str">
        <x:v>Rythern Master Price Sheet.xlsx | MASTER PRICE SHEET!I112</x:v>
      </x:c>
      <x:c r="F109" s="2"/>
      <x:c r="G109" s="2"/>
      <x:c r="H109" s="2"/>
    </x:row>
    <x:row r="110" ht="21" customHeight="1">
      <x:c r="A110" s="2" t="str">
        <x:v>U309024</x:v>
      </x:c>
      <x:c r="B110" s="2" t="str">
        <x:v>U309024</x:v>
      </x:c>
      <x:c r="C110" s="7" t="n">
        <x:v>325.17827574913906</x:v>
      </x:c>
      <x:c r="D110" s="8" t="n">
        <x:f>ROUND(C110,2)</x:f>
        <x:v>325.18</x:v>
      </x:c>
      <x:c r="E110" s="2" t="str">
        <x:v>Rythern Master Price Sheet.xlsx | MASTER PRICE SHEET!I113</x:v>
      </x:c>
      <x:c r="F110" s="2"/>
      <x:c r="G110" s="2"/>
      <x:c r="H110" s="2"/>
    </x:row>
    <x:row r="111" ht="21" customHeight="1">
      <x:c r="A111" s="2" t="str">
        <x:v>U309624</x:v>
      </x:c>
      <x:c r="B111" s="2" t="str">
        <x:v>U309624</x:v>
      </x:c>
      <x:c r="C111" s="7" t="n">
        <x:v>341.55111582777863</x:v>
      </x:c>
      <x:c r="D111" s="8" t="n">
        <x:f>ROUND(C111,2)</x:f>
        <x:v>341.55</x:v>
      </x:c>
      <x:c r="E111" s="2" t="str">
        <x:v>Rythern Master Price Sheet.xlsx | MASTER PRICE SHEET!I114</x:v>
      </x:c>
      <x:c r="F111" s="2"/>
      <x:c r="G111" s="2"/>
      <x:c r="H111" s="2"/>
    </x:row>
    <x:row r="112" ht="21" customHeight="1">
      <x:c r="A112" s="2" t="str">
        <x:v>USV2496</x:v>
      </x:c>
      <x:c r="B112" s="2" t="str">
        <x:v>USV2496</x:v>
      </x:c>
      <x:c r="C112" s="7" t="n">
        <x:v>26.998141815548237</x:v>
      </x:c>
      <x:c r="D112" s="8" t="n">
        <x:f>ROUND(C112,2)</x:f>
        <x:v>27</x:v>
      </x:c>
      <x:c r="E112" s="2" t="str">
        <x:v>Rythern Master Price Sheet.xlsx | MASTER PRICE SHEET!I115</x:v>
      </x:c>
      <x:c r="F112" s="2"/>
      <x:c r="G112" s="2"/>
      <x:c r="H112" s="2"/>
    </x:row>
    <x:row r="113" ht="21" customHeight="1">
      <x:c r="A113" s="2" t="str">
        <x:v>V3021DL</x:v>
      </x:c>
      <x:c r="B113" s="2" t="str">
        <x:v>V3021DL</x:v>
      </x:c>
      <x:c r="C113" s="7" t="n">
        <x:v>176.57005571403087</x:v>
      </x:c>
      <x:c r="D113" s="8" t="n">
        <x:f>ROUND(C113,2)</x:f>
        <x:v>176.57</x:v>
      </x:c>
      <x:c r="E113" s="2" t="str">
        <x:v>Rythern Master Price Sheet.xlsx | MASTER PRICE SHEET!I116</x:v>
      </x:c>
      <x:c r="F113" s="2"/>
      <x:c r="G113" s="2"/>
      <x:c r="H113" s="2"/>
    </x:row>
    <x:row r="114" ht="21" customHeight="1">
      <x:c r="A114" s="2" t="str">
        <x:v>V3021DR</x:v>
      </x:c>
      <x:c r="B114" s="2" t="str">
        <x:v>V3021DR</x:v>
      </x:c>
      <x:c r="C114" s="7" t="n">
        <x:v>176.57005571403087</x:v>
      </x:c>
      <x:c r="D114" s="8" t="n">
        <x:f>ROUND(C114,2)</x:f>
        <x:v>176.57</x:v>
      </x:c>
      <x:c r="E114" s="2" t="str">
        <x:v>Rythern Master Price Sheet.xlsx | MASTER PRICE SHEET!I117</x:v>
      </x:c>
      <x:c r="F114" s="2"/>
      <x:c r="G114" s="2"/>
      <x:c r="H114" s="2"/>
    </x:row>
    <x:row r="115" ht="21" customHeight="1">
      <x:c r="A115" s="2" t="str">
        <x:v>V3621DL</x:v>
      </x:c>
      <x:c r="B115" s="2" t="str">
        <x:v>V3621DL</x:v>
      </x:c>
      <x:c r="C115" s="7" t="n">
        <x:v>186.6028394949165</x:v>
      </x:c>
      <x:c r="D115" s="8" t="n">
        <x:f>ROUND(C115,2)</x:f>
        <x:v>186.6</x:v>
      </x:c>
      <x:c r="E115" s="2" t="str">
        <x:v>Rythern Master Price Sheet.xlsx | MASTER PRICE SHEET!I118</x:v>
      </x:c>
      <x:c r="F115" s="2"/>
      <x:c r="G115" s="2"/>
      <x:c r="H115" s="2"/>
    </x:row>
    <x:row r="116" ht="21" customHeight="1">
      <x:c r="A116" s="2" t="str">
        <x:v>V3621DR</x:v>
      </x:c>
      <x:c r="B116" s="2" t="str">
        <x:v>V3621DR</x:v>
      </x:c>
      <x:c r="C116" s="7" t="n">
        <x:v>186.6028394949165</x:v>
      </x:c>
      <x:c r="D116" s="8" t="n">
        <x:f>ROUND(C116,2)</x:f>
        <x:v>186.6</x:v>
      </x:c>
      <x:c r="E116" s="2" t="str">
        <x:v>Rythern Master Price Sheet.xlsx | MASTER PRICE SHEET!I119</x:v>
      </x:c>
      <x:c r="F116" s="2"/>
      <x:c r="G116" s="2"/>
      <x:c r="H116" s="2"/>
    </x:row>
    <x:row r="117" ht="21" customHeight="1">
      <x:c r="A117" s="2" t="str">
        <x:v>VA48</x:v>
      </x:c>
      <x:c r="B117" s="2" t="str">
        <x:v>VA48</x:v>
      </x:c>
      <x:c r="C117" s="7" t="n">
        <x:v>33.80082433900382</x:v>
      </x:c>
      <x:c r="D117" s="8" t="n">
        <x:f>ROUND(C117,2)</x:f>
        <x:v>33.8</x:v>
      </x:c>
      <x:c r="E117" s="2" t="str">
        <x:v>Rythern Master Price Sheet.xlsx | MASTER PRICE SHEET!I120</x:v>
      </x:c>
      <x:c r="F117" s="2"/>
      <x:c r="G117" s="2"/>
      <x:c r="H117" s="2"/>
    </x:row>
    <x:row r="118" ht="21" customHeight="1">
      <x:c r="A118" s="2" t="str">
        <x:v>VDDB42</x:v>
      </x:c>
      <x:c r="B118" s="2" t="str">
        <x:v>VDDB42</x:v>
      </x:c>
      <x:c r="C118" s="7" t="n">
        <x:v>281.9930573769335</x:v>
      </x:c>
      <x:c r="D118" s="8" t="n">
        <x:f>ROUND(C118,2)</x:f>
        <x:v>281.99</x:v>
      </x:c>
      <x:c r="E118" s="2" t="str">
        <x:v>Rythern Master Price Sheet.xlsx | MASTER PRICE SHEET!I121</x:v>
      </x:c>
      <x:c r="F118" s="2"/>
      <x:c r="G118" s="2"/>
      <x:c r="H118" s="2"/>
    </x:row>
    <x:row r="119" ht="21" customHeight="1">
      <x:c r="A119" s="2" t="str">
        <x:v>VDDB48</x:v>
      </x:c>
      <x:c r="B119" s="2" t="str">
        <x:v>VDDB48</x:v>
      </x:c>
      <x:c r="C119" s="7" t="n">
        <x:v>290.47944419777025</x:v>
      </x:c>
      <x:c r="D119" s="8" t="n">
        <x:f>ROUND(C119,2)</x:f>
        <x:v>290.48</x:v>
      </x:c>
      <x:c r="E119" s="2" t="str">
        <x:v>Rythern Master Price Sheet.xlsx | MASTER PRICE SHEET!I122</x:v>
      </x:c>
      <x:c r="F119" s="2"/>
      <x:c r="G119" s="2"/>
      <x:c r="H119" s="2"/>
    </x:row>
    <x:row r="120" ht="21" customHeight="1">
      <x:c r="A120" s="2" t="str">
        <x:v>VDDB60</x:v>
      </x:c>
      <x:c r="B120" s="2" t="str">
        <x:v>VDDB60</x:v>
      </x:c>
      <x:c r="C120" s="7" t="n">
        <x:v>330.5194922995626</x:v>
      </x:c>
      <x:c r="D120" s="8" t="n">
        <x:f>ROUND(C120,2)</x:f>
        <x:v>330.52</x:v>
      </x:c>
      <x:c r="E120" s="2" t="str">
        <x:v>Rythern Master Price Sheet.xlsx | MASTER PRICE SHEET!I123</x:v>
      </x:c>
      <x:c r="F120" s="2"/>
      <x:c r="G120" s="2"/>
      <x:c r="H120" s="2"/>
    </x:row>
    <x:row r="121" ht="21" customHeight="1">
      <x:c r="A121" s="2" t="str">
        <x:v>VDEP</x:v>
      </x:c>
      <x:c r="B121" s="2" t="str">
        <x:v>VDEP</x:v>
      </x:c>
      <x:c r="C121" s="7" t="n">
        <x:v>23.375058670922648</x:v>
      </x:c>
      <x:c r="D121" s="8" t="n">
        <x:f>ROUND(C121,2)</x:f>
        <x:v>23.38</x:v>
      </x:c>
      <x:c r="E121" s="2" t="str">
        <x:v>Rythern Master Price Sheet.xlsx | MASTER PRICE SHEET!I124</x:v>
      </x:c>
      <x:c r="F121" s="2"/>
      <x:c r="G121" s="2"/>
      <x:c r="H121" s="2"/>
    </x:row>
    <x:row r="122" ht="21" customHeight="1">
      <x:c r="A122" s="2" t="str">
        <x:v>VKD36</x:v>
      </x:c>
      <x:c r="B122" s="2" t="str">
        <x:v>VKD36</x:v>
      </x:c>
      <x:c r="C122" s="7" t="n">
        <x:v>34.63595302360047</x:v>
      </x:c>
      <x:c r="D122" s="8" t="n">
        <x:f>ROUND(C122,2)</x:f>
        <x:v>34.64</x:v>
      </x:c>
      <x:c r="E122" s="2" t="str">
        <x:v>Rythern Master Price Sheet.xlsx | MASTER PRICE SHEET!I125</x:v>
      </x:c>
      <x:c r="F122" s="2"/>
      <x:c r="G122" s="2"/>
      <x:c r="H122" s="2"/>
    </x:row>
    <x:row r="123" ht="21" customHeight="1">
      <x:c r="A123" s="2" t="str">
        <x:v>VS24</x:v>
      </x:c>
      <x:c r="B123" s="2" t="str">
        <x:v>VS24</x:v>
      </x:c>
      <x:c r="C123" s="7" t="n">
        <x:v>91.59783367963621</x:v>
      </x:c>
      <x:c r="D123" s="8" t="n">
        <x:f>ROUND(C123,2)</x:f>
        <x:v>91.6</x:v>
      </x:c>
      <x:c r="E123" s="2" t="str">
        <x:v>Rythern Master Price Sheet.xlsx | MASTER PRICE SHEET!I126</x:v>
      </x:c>
      <x:c r="F123" s="2"/>
      <x:c r="G123" s="2"/>
      <x:c r="H123" s="2"/>
    </x:row>
    <x:row r="124" ht="21" customHeight="1">
      <x:c r="A124" s="2" t="str">
        <x:v>VS27</x:v>
      </x:c>
      <x:c r="B124" s="2" t="str">
        <x:v>VS27</x:v>
      </x:c>
      <x:c r="C124" s="7" t="n">
        <x:v>96.4438966622238</x:v>
      </x:c>
      <x:c r="D124" s="8" t="n">
        <x:f>ROUND(C124,2)</x:f>
        <x:v>96.44</x:v>
      </x:c>
      <x:c r="E124" s="2" t="str">
        <x:v>Rythern Master Price Sheet.xlsx | MASTER PRICE SHEET!I127</x:v>
      </x:c>
      <x:c r="F124" s="2"/>
      <x:c r="G124" s="2"/>
      <x:c r="H124" s="2"/>
    </x:row>
    <x:row r="125" ht="21" customHeight="1">
      <x:c r="A125" s="2" t="str">
        <x:v>VS30</x:v>
      </x:c>
      <x:c r="B125" s="2" t="str">
        <x:v>VS30</x:v>
      </x:c>
      <x:c r="C125" s="7" t="n">
        <x:v>101.26269648366643</x:v>
      </x:c>
      <x:c r="D125" s="8" t="n">
        <x:f>ROUND(C125,2)</x:f>
        <x:v>101.26</x:v>
      </x:c>
      <x:c r="E125" s="2" t="str">
        <x:v>Rythern Master Price Sheet.xlsx | MASTER PRICE SHEET!I128</x:v>
      </x:c>
      <x:c r="F125" s="2"/>
      <x:c r="G125" s="2"/>
      <x:c r="H125" s="2"/>
    </x:row>
    <x:row r="126" ht="21" customHeight="1">
      <x:c r="A126" s="2" t="str">
        <x:v>VS36</x:v>
      </x:c>
      <x:c r="B126" s="2" t="str">
        <x:v>VS36</x:v>
      </x:c>
      <x:c r="C126" s="7" t="n">
        <x:v>117.16827634705596</x:v>
      </x:c>
      <x:c r="D126" s="8" t="n">
        <x:f>ROUND(C126,2)</x:f>
        <x:v>117.17</x:v>
      </x:c>
      <x:c r="E126" s="2" t="str">
        <x:v>Rythern Master Price Sheet.xlsx | MASTER PRICE SHEET!I129</x:v>
      </x:c>
      <x:c r="F126" s="2"/>
      <x:c r="G126" s="2"/>
      <x:c r="H126" s="2"/>
    </x:row>
    <x:row r="127" ht="21" customHeight="1">
      <x:c r="A127" s="2" t="str">
        <x:v>VSD36</x:v>
      </x:c>
      <x:c r="B127" s="2" t="str">
        <x:v>VSD36</x:v>
      </x:c>
      <x:c r="C127" s="7" t="n">
        <x:v>153.5282303568806</x:v>
      </x:c>
      <x:c r="D127" s="8" t="n">
        <x:f>ROUND(C127,2)</x:f>
        <x:v>153.53</x:v>
      </x:c>
      <x:c r="E127" s="2" t="str">
        <x:v>Rythern Master Price Sheet.xlsx | MASTER PRICE SHEET!I130</x:v>
      </x:c>
      <x:c r="F127" s="2"/>
      <x:c r="G127" s="2"/>
      <x:c r="H127" s="2"/>
    </x:row>
    <x:row r="128" ht="21" customHeight="1">
      <x:c r="A128" s="2" t="str">
        <x:v>VSD42</x:v>
      </x:c>
      <x:c r="B128" s="2" t="str">
        <x:v>VSD42</x:v>
      </x:c>
      <x:c r="C128" s="7" t="n">
        <x:v>162.24029447498546</x:v>
      </x:c>
      <x:c r="D128" s="8" t="n">
        <x:f>ROUND(C128,2)</x:f>
        <x:v>162.24</x:v>
      </x:c>
      <x:c r="E128" s="2" t="str">
        <x:v>Rythern Master Price Sheet.xlsx | MASTER PRICE SHEET!I131</x:v>
      </x:c>
      <x:c r="F128" s="2"/>
      <x:c r="G128" s="2"/>
      <x:c r="H128" s="2"/>
    </x:row>
    <x:row r="129" ht="21" customHeight="1">
      <x:c r="A129" s="2" t="str">
        <x:v>VSD48</x:v>
      </x:c>
      <x:c r="B129" s="2" t="str">
        <x:v>VSD48</x:v>
      </x:c>
      <x:c r="C129" s="7" t="n">
        <x:v>180.0620536813616</x:v>
      </x:c>
      <x:c r="D129" s="8" t="n">
        <x:f>ROUND(C129,2)</x:f>
        <x:v>180.06</x:v>
      </x:c>
      <x:c r="E129" s="2" t="str">
        <x:v>Rythern Master Price Sheet.xlsx | MASTER PRICE SHEET!I132</x:v>
      </x:c>
      <x:c r="F129" s="2"/>
      <x:c r="G129" s="2"/>
      <x:c r="H129" s="2"/>
    </x:row>
    <x:row r="130" ht="21" customHeight="1">
      <x:c r="A130" s="2" t="str">
        <x:v>VSDB60</x:v>
      </x:c>
      <x:c r="B130" s="2" t="str">
        <x:v>VSDB60</x:v>
      </x:c>
      <x:c r="C130" s="7" t="n">
        <x:v>263.5528455548489</x:v>
      </x:c>
      <x:c r="D130" s="8" t="n">
        <x:f>ROUND(C130,2)</x:f>
        <x:v>263.55</x:v>
      </x:c>
      <x:c r="E130" s="2" t="str">
        <x:v>Rythern Master Price Sheet.xlsx | MASTER PRICE SHEET!I133</x:v>
      </x:c>
      <x:c r="F130" s="2"/>
      <x:c r="G130" s="2"/>
      <x:c r="H130" s="2"/>
    </x:row>
    <x:row r="131" ht="21" customHeight="1">
      <x:c r="A131" s="2" t="str">
        <x:v>W0930</x:v>
      </x:c>
      <x:c r="B131" s="2" t="str">
        <x:v>W0930</x:v>
      </x:c>
      <x:c r="C131" s="7" t="n">
        <x:v>44.48169669431406</x:v>
      </x:c>
      <x:c r="D131" s="8" t="n">
        <x:f>ROUND(C131,2)</x:f>
        <x:v>44.48</x:v>
      </x:c>
      <x:c r="E131" s="2" t="str">
        <x:v>Rythern Master Price Sheet.xlsx | MASTER PRICE SHEET!I134</x:v>
      </x:c>
      <x:c r="F131" s="2"/>
      <x:c r="G131" s="2"/>
      <x:c r="H131" s="2"/>
    </x:row>
    <x:row r="132" ht="21" customHeight="1">
      <x:c r="A132" s="2" t="str">
        <x:v>W0936</x:v>
      </x:c>
      <x:c r="B132" s="2" t="str">
        <x:v>W0936</x:v>
      </x:c>
      <x:c r="C132" s="7" t="n">
        <x:v>47.4210156919682</x:v>
      </x:c>
      <x:c r="D132" s="8" t="n">
        <x:f>ROUND(C132,2)</x:f>
        <x:v>47.42</x:v>
      </x:c>
      <x:c r="E132" s="2" t="str">
        <x:v>Rythern Master Price Sheet.xlsx | MASTER PRICE SHEET!I135</x:v>
      </x:c>
      <x:c r="F132" s="2"/>
      <x:c r="G132" s="2"/>
      <x:c r="H132" s="2"/>
    </x:row>
    <x:row r="133" ht="21" customHeight="1">
      <x:c r="A133" s="2" t="str">
        <x:v>W0942</x:v>
      </x:c>
      <x:c r="B133" s="2" t="str">
        <x:v>W0942</x:v>
      </x:c>
      <x:c r="C133" s="7" t="n">
        <x:v>53.36293228783346</x:v>
      </x:c>
      <x:c r="D133" s="8" t="n">
        <x:f>ROUND(C133,2)</x:f>
        <x:v>53.36</x:v>
      </x:c>
      <x:c r="E133" s="2" t="str">
        <x:v>Rythern Master Price Sheet.xlsx | MASTER PRICE SHEET!I136</x:v>
      </x:c>
      <x:c r="F133" s="2"/>
      <x:c r="G133" s="2"/>
      <x:c r="H133" s="2"/>
    </x:row>
    <x:row r="134" ht="21" customHeight="1">
      <x:c r="A134" s="2" t="str">
        <x:v>W1230</x:v>
      </x:c>
      <x:c r="B134" s="2" t="str">
        <x:v>W1230</x:v>
      </x:c>
      <x:c r="C134" s="7" t="n">
        <x:v>47.357903556249234</x:v>
      </x:c>
      <x:c r="D134" s="8" t="n">
        <x:f>ROUND(C134,2)</x:f>
        <x:v>47.36</x:v>
      </x:c>
      <x:c r="E134" s="2" t="str">
        <x:v>Rythern Master Price Sheet.xlsx | MASTER PRICE SHEET!I137</x:v>
      </x:c>
      <x:c r="F134" s="2"/>
      <x:c r="G134" s="2"/>
      <x:c r="H134" s="2"/>
    </x:row>
    <x:row r="135" ht="21" customHeight="1">
      <x:c r="A135" s="2" t="str">
        <x:v>W1236</x:v>
      </x:c>
      <x:c r="B135" s="2" t="str">
        <x:v>W1236</x:v>
      </x:c>
      <x:c r="C135" s="7" t="n">
        <x:v>57.760864253375104</x:v>
      </x:c>
      <x:c r="D135" s="8" t="n">
        <x:f>ROUND(C135,2)</x:f>
        <x:v>57.76</x:v>
      </x:c>
      <x:c r="E135" s="2" t="str">
        <x:v>Rythern Master Price Sheet.xlsx | MASTER PRICE SHEET!I138</x:v>
      </x:c>
      <x:c r="F135" s="2"/>
      <x:c r="G135" s="2"/>
      <x:c r="H135" s="2"/>
    </x:row>
    <x:row r="136" ht="21" customHeight="1">
      <x:c r="A136" s="2" t="str">
        <x:v>W1242</x:v>
      </x:c>
      <x:c r="B136" s="2" t="str">
        <x:v>W1242</x:v>
      </x:c>
      <x:c r="C136" s="7" t="n">
        <x:v>63.296813370813986</x:v>
      </x:c>
      <x:c r="D136" s="8" t="n">
        <x:f>ROUND(C136,2)</x:f>
        <x:v>63.3</x:v>
      </x:c>
      <x:c r="E136" s="2" t="str">
        <x:v>Rythern Master Price Sheet.xlsx | MASTER PRICE SHEET!I139</x:v>
      </x:c>
      <x:c r="F136" s="2"/>
      <x:c r="G136" s="2"/>
      <x:c r="H136" s="2"/>
    </x:row>
    <x:row r="137" ht="21" customHeight="1">
      <x:c r="A137" s="2" t="str">
        <x:v>W1530</x:v>
      </x:c>
      <x:c r="B137" s="2" t="str">
        <x:v>W1530</x:v>
      </x:c>
      <x:c r="C137" s="7" t="n">
        <x:v>54.84353186545231</x:v>
      </x:c>
      <x:c r="D137" s="8" t="n">
        <x:f>ROUND(C137,2)</x:f>
        <x:v>54.84</x:v>
      </x:c>
      <x:c r="E137" s="2" t="str">
        <x:v>Rythern Master Price Sheet.xlsx | MASTER PRICE SHEET!I140</x:v>
      </x:c>
      <x:c r="F137" s="2"/>
      <x:c r="G137" s="2"/>
      <x:c r="H137" s="2"/>
    </x:row>
    <x:row r="138" ht="21" customHeight="1">
      <x:c r="A138" s="2" t="str">
        <x:v>W1530GD</x:v>
      </x:c>
      <x:c r="B138" s="2" t="str">
        <x:v>W1530GD</x:v>
      </x:c>
      <x:c r="C138" s="7" t="n">
        <x:v>57.25988006513056</x:v>
      </x:c>
      <x:c r="D138" s="8" t="n">
        <x:f>ROUND(C138,2)</x:f>
        <x:v>57.26</x:v>
      </x:c>
      <x:c r="E138" s="2" t="str">
        <x:v>Rythern Master Price Sheet.xlsx | MASTER PRICE SHEET!I141</x:v>
      </x:c>
      <x:c r="F138" s="2"/>
      <x:c r="G138" s="2"/>
      <x:c r="H138" s="2"/>
    </x:row>
    <x:row r="139" ht="21" customHeight="1">
      <x:c r="A139" s="2" t="str">
        <x:v>W1536</x:v>
      </x:c>
      <x:c r="B139" s="2" t="str">
        <x:v>W1536</x:v>
      </x:c>
      <x:c r="C139" s="7" t="n">
        <x:v>61.91561784718673</x:v>
      </x:c>
      <x:c r="D139" s="8" t="n">
        <x:f>ROUND(C139,2)</x:f>
        <x:v>61.92</x:v>
      </x:c>
      <x:c r="E139" s="2" t="str">
        <x:v>Rythern Master Price Sheet.xlsx | MASTER PRICE SHEET!I142</x:v>
      </x:c>
      <x:c r="F139" s="2"/>
      <x:c r="G139" s="2"/>
      <x:c r="H139" s="2"/>
    </x:row>
    <x:row r="140" ht="21" customHeight="1">
      <x:c r="A140" s="2" t="str">
        <x:v>W1536GD</x:v>
      </x:c>
      <x:c r="B140" s="2" t="str">
        <x:v>W1536GD</x:v>
      </x:c>
      <x:c r="C140" s="7" t="n">
        <x:v>64.62763387325037</x:v>
      </x:c>
      <x:c r="D140" s="8" t="n">
        <x:f>ROUND(C140,2)</x:f>
        <x:v>64.63</x:v>
      </x:c>
      <x:c r="E140" s="2" t="str">
        <x:v>Rythern Master Price Sheet.xlsx | MASTER PRICE SHEET!I143</x:v>
      </x:c>
      <x:c r="F140" s="2"/>
      <x:c r="G140" s="2"/>
      <x:c r="H140" s="2"/>
    </x:row>
    <x:row r="141" ht="21" customHeight="1">
      <x:c r="A141" s="2" t="str">
        <x:v>W1542</x:v>
      </x:c>
      <x:c r="B141" s="2" t="str">
        <x:v>W1542</x:v>
      </x:c>
      <x:c r="C141" s="7" t="n">
        <x:v>73.23116562552461</x:v>
      </x:c>
      <x:c r="D141" s="8" t="n">
        <x:f>ROUND(C141,2)</x:f>
        <x:v>73.23</x:v>
      </x:c>
      <x:c r="E141" s="2" t="str">
        <x:v>Rythern Master Price Sheet.xlsx | MASTER PRICE SHEET!I144</x:v>
      </x:c>
      <x:c r="F141" s="2"/>
      <x:c r="G141" s="2"/>
      <x:c r="H141" s="2"/>
    </x:row>
    <x:row r="142" ht="21" customHeight="1">
      <x:c r="A142" s="2" t="str">
        <x:v>W1542GD</x:v>
      </x:c>
      <x:c r="B142" s="2" t="str">
        <x:v>W1542GD</x:v>
      </x:c>
      <x:c r="C142" s="7" t="n">
        <x:v>76.39833937831595</x:v>
      </x:c>
      <x:c r="D142" s="8" t="n">
        <x:f>ROUND(C142,2)</x:f>
        <x:v>76.4</x:v>
      </x:c>
      <x:c r="E142" s="2" t="str">
        <x:v>Rythern Master Price Sheet.xlsx | MASTER PRICE SHEET!I145</x:v>
      </x:c>
      <x:c r="F142" s="2"/>
      <x:c r="G142" s="2"/>
      <x:c r="H142" s="2"/>
    </x:row>
    <x:row r="143" ht="21" customHeight="1">
      <x:c r="A143" s="2" t="str">
        <x:v>W1830</x:v>
      </x:c>
      <x:c r="B143" s="2" t="str">
        <x:v>W1830</x:v>
      </x:c>
      <x:c r="C143" s="7" t="n">
        <x:v>60.66022286588955</x:v>
      </x:c>
      <x:c r="D143" s="8" t="n">
        <x:f>ROUND(C143,2)</x:f>
        <x:v>60.66</x:v>
      </x:c>
      <x:c r="E143" s="2" t="str">
        <x:v>Rythern Master Price Sheet.xlsx | MASTER PRICE SHEET!I146</x:v>
      </x:c>
      <x:c r="F143" s="2"/>
      <x:c r="G143" s="2"/>
      <x:c r="H143" s="2"/>
    </x:row>
    <x:row r="144" ht="21" customHeight="1">
      <x:c r="A144" s="2" t="str">
        <x:v>W1836</x:v>
      </x:c>
      <x:c r="B144" s="2" t="str">
        <x:v>W1836</x:v>
      </x:c>
      <x:c r="C144" s="7" t="n">
        <x:v>69.70605304234329</x:v>
      </x:c>
      <x:c r="D144" s="8" t="n">
        <x:f>ROUND(C144,2)</x:f>
        <x:v>69.71</x:v>
      </x:c>
      <x:c r="E144" s="2" t="str">
        <x:v>Rythern Master Price Sheet.xlsx | MASTER PRICE SHEET!I147</x:v>
      </x:c>
      <x:c r="F144" s="2"/>
      <x:c r="G144" s="2"/>
      <x:c r="H144" s="2"/>
    </x:row>
    <x:row r="145" ht="21" customHeight="1">
      <x:c r="A145" s="2" t="str">
        <x:v>W1842</x:v>
      </x:c>
      <x:c r="B145" s="2" t="str">
        <x:v>W1842</x:v>
      </x:c>
      <x:c r="C145" s="7" t="n">
        <x:v>83.20934845868639</x:v>
      </x:c>
      <x:c r="D145" s="8" t="n">
        <x:f>ROUND(C145,2)</x:f>
        <x:v>83.21</x:v>
      </x:c>
      <x:c r="E145" s="2" t="str">
        <x:v>Rythern Master Price Sheet.xlsx | MASTER PRICE SHEET!I148</x:v>
      </x:c>
      <x:c r="F145" s="2"/>
      <x:c r="G145" s="2"/>
      <x:c r="H145" s="2"/>
    </x:row>
    <x:row r="146" ht="21" customHeight="1">
      <x:c r="A146" s="2" t="str">
        <x:v>W2130</x:v>
      </x:c>
      <x:c r="B146" s="2" t="str">
        <x:v>W2130</x:v>
      </x:c>
      <x:c r="C146" s="7" t="n">
        <x:v>67.97730134353041</x:v>
      </x:c>
      <x:c r="D146" s="8" t="n">
        <x:f>ROUND(C146,2)</x:f>
        <x:v>67.98</x:v>
      </x:c>
      <x:c r="E146" s="2" t="str">
        <x:v>Rythern Master Price Sheet.xlsx | MASTER PRICE SHEET!I149</x:v>
      </x:c>
      <x:c r="F146" s="2"/>
      <x:c r="G146" s="2"/>
      <x:c r="H146" s="2"/>
    </x:row>
    <x:row r="147" ht="21" customHeight="1">
      <x:c r="A147" s="2" t="str">
        <x:v>W2136</x:v>
      </x:c>
      <x:c r="B147" s="2" t="str">
        <x:v>W2136</x:v>
      </x:c>
      <x:c r="C147" s="7" t="n">
        <x:v>79.53622405018191</x:v>
      </x:c>
      <x:c r="D147" s="8" t="n">
        <x:f>ROUND(C147,2)</x:f>
        <x:v>79.54</x:v>
      </x:c>
      <x:c r="E147" s="2" t="str">
        <x:v>Rythern Master Price Sheet.xlsx | MASTER PRICE SHEET!I150</x:v>
      </x:c>
      <x:c r="F147" s="2"/>
      <x:c r="G147" s="2"/>
      <x:c r="H147" s="2"/>
    </x:row>
    <x:row r="148" ht="21" customHeight="1">
      <x:c r="A148" s="2" t="str">
        <x:v>W2142</x:v>
      </x:c>
      <x:c r="B148" s="2" t="str">
        <x:v>W2142</x:v>
      </x:c>
      <x:c r="C148" s="7" t="n">
        <x:v>93.12013630799191</x:v>
      </x:c>
      <x:c r="D148" s="8" t="n">
        <x:f>ROUND(C148,2)</x:f>
        <x:v>93.12</x:v>
      </x:c>
      <x:c r="E148" s="2" t="str">
        <x:v>Rythern Master Price Sheet.xlsx | MASTER PRICE SHEET!I151</x:v>
      </x:c>
      <x:c r="F148" s="2"/>
      <x:c r="G148" s="2"/>
      <x:c r="H148" s="2"/>
    </x:row>
    <x:row r="149" ht="21" customHeight="1">
      <x:c r="A149" s="2" t="str">
        <x:v>W2430</x:v>
      </x:c>
      <x:c r="B149" s="2" t="str">
        <x:v>W2430</x:v>
      </x:c>
      <x:c r="C149" s="7" t="n">
        <x:v>82.57548741952529</x:v>
      </x:c>
      <x:c r="D149" s="8" t="n">
        <x:f>ROUND(C149,2)</x:f>
        <x:v>82.58</x:v>
      </x:c>
      <x:c r="E149" s="2" t="str">
        <x:v>Rythern Master Price Sheet.xlsx | MASTER PRICE SHEET!I152</x:v>
      </x:c>
      <x:c r="F149" s="2"/>
      <x:c r="G149" s="2"/>
      <x:c r="H149" s="2"/>
    </x:row>
    <x:row r="150" ht="21" customHeight="1">
      <x:c r="A150" s="2" t="str">
        <x:v>W2430GD</x:v>
      </x:c>
      <x:c r="B150" s="2" t="str">
        <x:v>W2430GD</x:v>
      </x:c>
      <x:c r="C150" s="7" t="n">
        <x:v>86.12835275019482</x:v>
      </x:c>
      <x:c r="D150" s="8" t="n">
        <x:f>ROUND(C150,2)</x:f>
        <x:v>86.13</x:v>
      </x:c>
      <x:c r="E150" s="2" t="str">
        <x:v>Rythern Master Price Sheet.xlsx | MASTER PRICE SHEET!I153</x:v>
      </x:c>
      <x:c r="F150" s="2"/>
      <x:c r="G150" s="2"/>
      <x:c r="H150" s="2"/>
    </x:row>
    <x:row r="151" ht="21" customHeight="1">
      <x:c r="A151" s="2" t="str">
        <x:v>W2436</x:v>
      </x:c>
      <x:c r="B151" s="2" t="str">
        <x:v>W2436</x:v>
      </x:c>
      <x:c r="C151" s="7" t="n">
        <x:v>90.27557248294033</x:v>
      </x:c>
      <x:c r="D151" s="8" t="n">
        <x:f>ROUND(C151,2)</x:f>
        <x:v>90.28</x:v>
      </x:c>
      <x:c r="E151" s="2" t="str">
        <x:v>Rythern Master Price Sheet.xlsx | MASTER PRICE SHEET!I154</x:v>
      </x:c>
      <x:c r="F151" s="2"/>
      <x:c r="G151" s="2"/>
      <x:c r="H151" s="2"/>
    </x:row>
    <x:row r="152" ht="21" customHeight="1">
      <x:c r="A152" s="2" t="str">
        <x:v>W2436GD</x:v>
      </x:c>
      <x:c r="B152" s="2" t="str">
        <x:v>W2436GD</x:v>
      </x:c>
      <x:c r="C152" s="7" t="n">
        <x:v>94.09775007972773</x:v>
      </x:c>
      <x:c r="D152" s="8" t="n">
        <x:f>ROUND(C152,2)</x:f>
        <x:v>94.1</x:v>
      </x:c>
      <x:c r="E152" s="2" t="str">
        <x:v>Rythern Master Price Sheet.xlsx | MASTER PRICE SHEET!I155</x:v>
      </x:c>
      <x:c r="F152" s="2"/>
      <x:c r="G152" s="2"/>
      <x:c r="H152" s="2"/>
    </x:row>
    <x:row r="153" ht="21" customHeight="1">
      <x:c r="A153" s="2" t="str">
        <x:v>W2442</x:v>
      </x:c>
      <x:c r="B153" s="2" t="str">
        <x:v>W2442</x:v>
      </x:c>
      <x:c r="C153" s="7" t="n">
        <x:v>105.56396799137322</x:v>
      </x:c>
      <x:c r="D153" s="8" t="n">
        <x:f>ROUND(C153,2)</x:f>
        <x:v>105.56</x:v>
      </x:c>
      <x:c r="E153" s="2" t="str">
        <x:v>Rythern Master Price Sheet.xlsx | MASTER PRICE SHEET!I156</x:v>
      </x:c>
      <x:c r="F153" s="2"/>
      <x:c r="G153" s="2"/>
      <x:c r="H153" s="2"/>
    </x:row>
    <x:row r="154" ht="21" customHeight="1">
      <x:c r="A154" s="2" t="str">
        <x:v>W2442GD</x:v>
      </x:c>
      <x:c r="B154" s="2" t="str">
        <x:v>W2442GD</x:v>
      </x:c>
      <x:c r="C154" s="7" t="n">
        <x:v>110.04062746479289</x:v>
      </x:c>
      <x:c r="D154" s="8" t="n">
        <x:f>ROUND(C154,2)</x:f>
        <x:v>110.04</x:v>
      </x:c>
      <x:c r="E154" s="2" t="str">
        <x:v>Rythern Master Price Sheet.xlsx | MASTER PRICE SHEET!I157</x:v>
      </x:c>
      <x:c r="F154" s="2"/>
      <x:c r="G154" s="2"/>
      <x:c r="H154" s="2"/>
    </x:row>
    <x:row r="155" ht="21" customHeight="1">
      <x:c r="A155" s="2" t="str">
        <x:v>W2730</x:v>
      </x:c>
      <x:c r="B155" s="2" t="str">
        <x:v>W2730</x:v>
      </x:c>
      <x:c r="C155" s="7" t="n">
        <x:v>89.95020999789</x:v>
      </x:c>
      <x:c r="D155" s="8" t="n">
        <x:f>ROUND(C155,2)</x:f>
        <x:v>89.95</x:v>
      </x:c>
      <x:c r="E155" s="2" t="str">
        <x:v>Rythern Master Price Sheet.xlsx | MASTER PRICE SHEET!I158</x:v>
      </x:c>
      <x:c r="F155" s="2"/>
      <x:c r="G155" s="2"/>
      <x:c r="H155" s="2"/>
    </x:row>
    <x:row r="156" ht="21" customHeight="1">
      <x:c r="A156" s="2" t="str">
        <x:v>W2736</x:v>
      </x:c>
      <x:c r="B156" s="2" t="str">
        <x:v>W2736</x:v>
      </x:c>
      <x:c r="C156" s="7" t="n">
        <x:v>97.5566781685331</x:v>
      </x:c>
      <x:c r="D156" s="8" t="n">
        <x:f>ROUND(C156,2)</x:f>
        <x:v>97.56</x:v>
      </x:c>
      <x:c r="E156" s="2" t="str">
        <x:v>Rythern Master Price Sheet.xlsx | MASTER PRICE SHEET!I159</x:v>
      </x:c>
      <x:c r="F156" s="2"/>
      <x:c r="G156" s="2"/>
      <x:c r="H156" s="2"/>
    </x:row>
    <x:row r="157" ht="21" customHeight="1">
      <x:c r="A157" s="2" t="str">
        <x:v>W2742</x:v>
      </x:c>
      <x:c r="B157" s="2" t="str">
        <x:v>W2742</x:v>
      </x:c>
      <x:c r="C157" s="7" t="n">
        <x:v>118.19886351982336</x:v>
      </x:c>
      <x:c r="D157" s="8" t="n">
        <x:f>ROUND(C157,2)</x:f>
        <x:v>118.2</x:v>
      </x:c>
      <x:c r="E157" s="2" t="str">
        <x:v>Rythern Master Price Sheet.xlsx | MASTER PRICE SHEET!I160</x:v>
      </x:c>
      <x:c r="F157" s="2"/>
      <x:c r="G157" s="2"/>
      <x:c r="H157" s="2"/>
    </x:row>
    <x:row r="158" ht="21" customHeight="1">
      <x:c r="A158" s="2" t="str">
        <x:v>W3012</x:v>
      </x:c>
      <x:c r="B158" s="2" t="str">
        <x:v>W3012</x:v>
      </x:c>
      <x:c r="C158" s="7" t="n">
        <x:v>54.07174373286996</x:v>
      </x:c>
      <x:c r="D158" s="8" t="n">
        <x:f>ROUND(C158,2)</x:f>
        <x:v>54.07</x:v>
      </x:c>
      <x:c r="E158" s="2" t="str">
        <x:v>Rythern Master Price Sheet.xlsx | MASTER PRICE SHEET!I161</x:v>
      </x:c>
      <x:c r="F158" s="2"/>
      <x:c r="G158" s="2"/>
      <x:c r="H158" s="2"/>
    </x:row>
    <x:row r="159" ht="21" customHeight="1">
      <x:c r="A159" s="2" t="str">
        <x:v>W3015</x:v>
      </x:c>
      <x:c r="B159" s="2" t="str">
        <x:v>W3015</x:v>
      </x:c>
      <x:c r="C159" s="7" t="n">
        <x:v>59.817359939663326</x:v>
      </x:c>
      <x:c r="D159" s="8" t="n">
        <x:f>ROUND(C159,2)</x:f>
        <x:v>59.82</x:v>
      </x:c>
      <x:c r="E159" s="2" t="str">
        <x:v>Rythern Master Price Sheet.xlsx | MASTER PRICE SHEET!I162</x:v>
      </x:c>
      <x:c r="F159" s="2"/>
      <x:c r="G159" s="2"/>
      <x:c r="H159" s="2"/>
    </x:row>
    <x:row r="160" ht="21" customHeight="1">
      <x:c r="A160" s="2" t="str">
        <x:v>W3018</x:v>
      </x:c>
      <x:c r="B160" s="2" t="str">
        <x:v>W3018</x:v>
      </x:c>
      <x:c r="C160" s="7" t="n">
        <x:v>67.2961482242541</x:v>
      </x:c>
      <x:c r="D160" s="8" t="n">
        <x:f>ROUND(C160,2)</x:f>
        <x:v>67.3</x:v>
      </x:c>
      <x:c r="E160" s="2" t="str">
        <x:v>Rythern Master Price Sheet.xlsx | MASTER PRICE SHEET!I163</x:v>
      </x:c>
      <x:c r="F160" s="2"/>
      <x:c r="G160" s="2"/>
      <x:c r="H160" s="2"/>
    </x:row>
    <x:row r="161" ht="21" customHeight="1">
      <x:c r="A161" s="2" t="str">
        <x:v>W3024</x:v>
      </x:c>
      <x:c r="B161" s="2" t="str">
        <x:v>W3024</x:v>
      </x:c>
      <x:c r="C161" s="7" t="n">
        <x:v>80.58907472458333</x:v>
      </x:c>
      <x:c r="D161" s="8" t="n">
        <x:f>ROUND(C161,2)</x:f>
        <x:v>80.59</x:v>
      </x:c>
      <x:c r="E161" s="2" t="str">
        <x:v>Rythern Master Price Sheet.xlsx | MASTER PRICE SHEET!I164</x:v>
      </x:c>
      <x:c r="F161" s="2"/>
      <x:c r="G161" s="2"/>
      <x:c r="H161" s="2"/>
    </x:row>
    <x:row r="162" ht="21" customHeight="1">
      <x:c r="A162" s="2" t="str">
        <x:v>W3030</x:v>
      </x:c>
      <x:c r="B162" s="2" t="str">
        <x:v>W3030</x:v>
      </x:c>
      <x:c r="C162" s="7" t="n">
        <x:v>99.27319675994217</x:v>
      </x:c>
      <x:c r="D162" s="8" t="n">
        <x:f>ROUND(C162,2)</x:f>
        <x:v>99.27</x:v>
      </x:c>
      <x:c r="E162" s="2" t="str">
        <x:v>Rythern Master Price Sheet.xlsx | MASTER PRICE SHEET!I165</x:v>
      </x:c>
      <x:c r="F162" s="2"/>
      <x:c r="G162" s="2"/>
      <x:c r="H162" s="2"/>
    </x:row>
    <x:row r="163" ht="21" customHeight="1">
      <x:c r="A163" s="2" t="str">
        <x:v>W3030GD</x:v>
      </x:c>
      <x:c r="B163" s="2" t="str">
        <x:v>W3030GD</x:v>
      </x:c>
      <x:c r="C163" s="7" t="n">
        <x:v>102.37222246208106</x:v>
      </x:c>
      <x:c r="D163" s="8" t="n">
        <x:f>ROUND(C163,2)</x:f>
        <x:v>102.37</x:v>
      </x:c>
      <x:c r="E163" s="2" t="str">
        <x:v>Rythern Master Price Sheet.xlsx | MASTER PRICE SHEET!I166</x:v>
      </x:c>
      <x:c r="F163" s="2"/>
      <x:c r="G163" s="2"/>
      <x:c r="H163" s="2"/>
    </x:row>
    <x:row r="164" ht="21" customHeight="1">
      <x:c r="A164" s="2" t="str">
        <x:v>W3036</x:v>
      </x:c>
      <x:c r="B164" s="2" t="str">
        <x:v>W3036</x:v>
      </x:c>
      <x:c r="C164" s="7" t="n">
        <x:v>112.34964132222946</x:v>
      </x:c>
      <x:c r="D164" s="8" t="n">
        <x:f>ROUND(C164,2)</x:f>
        <x:v>112.35</x:v>
      </x:c>
      <x:c r="E164" s="2" t="str">
        <x:v>Rythern Master Price Sheet.xlsx | MASTER PRICE SHEET!I167</x:v>
      </x:c>
      <x:c r="F164" s="2"/>
      <x:c r="G164" s="2"/>
      <x:c r="H164" s="2"/>
    </x:row>
    <x:row r="165" ht="21" customHeight="1">
      <x:c r="A165" s="2" t="str">
        <x:v>W3036GD</x:v>
      </x:c>
      <x:c r="B165" s="2" t="str">
        <x:v>W3036GD</x:v>
      </x:c>
      <x:c r="C165" s="7" t="n">
        <x:v>116.5381004917809</x:v>
      </x:c>
      <x:c r="D165" s="8" t="n">
        <x:f>ROUND(C165,2)</x:f>
        <x:v>116.54</x:v>
      </x:c>
      <x:c r="E165" s="2" t="str">
        <x:v>Rythern Master Price Sheet.xlsx | MASTER PRICE SHEET!I168</x:v>
      </x:c>
      <x:c r="F165" s="2"/>
      <x:c r="G165" s="2"/>
      <x:c r="H165" s="2"/>
    </x:row>
    <x:row r="166" ht="21" customHeight="1">
      <x:c r="A166" s="2" t="str">
        <x:v>W3042</x:v>
      </x:c>
      <x:c r="B166" s="2" t="str">
        <x:v>W3042</x:v>
      </x:c>
      <x:c r="C166" s="7" t="n">
        <x:v>130.98666427465926</x:v>
      </x:c>
      <x:c r="D166" s="8" t="n">
        <x:f>ROUND(C166,2)</x:f>
        <x:v>130.99</x:v>
      </x:c>
      <x:c r="E166" s="2" t="str">
        <x:v>Rythern Master Price Sheet.xlsx | MASTER PRICE SHEET!I169</x:v>
      </x:c>
      <x:c r="F166" s="2"/>
      <x:c r="G166" s="2"/>
      <x:c r="H166" s="2"/>
    </x:row>
    <x:row r="167" ht="21" customHeight="1">
      <x:c r="A167" s="2" t="str">
        <x:v>W3042GD</x:v>
      </x:c>
      <x:c r="B167" s="2" t="str">
        <x:v>W3042GD</x:v>
      </x:c>
      <x:c r="C167" s="7" t="n">
        <x:v>135.18759536632618</x:v>
      </x:c>
      <x:c r="D167" s="8" t="n">
        <x:f>ROUND(C167,2)</x:f>
        <x:v>135.19</x:v>
      </x:c>
      <x:c r="E167" s="2" t="str">
        <x:v>Rythern Master Price Sheet.xlsx | MASTER PRICE SHEET!I170</x:v>
      </x:c>
      <x:c r="F167" s="2"/>
      <x:c r="G167" s="2"/>
      <x:c r="H167" s="2"/>
    </x:row>
    <x:row r="168" ht="21" customHeight="1">
      <x:c r="A168" s="2" t="str">
        <x:v>W3330</x:v>
      </x:c>
      <x:c r="B168" s="2" t="str">
        <x:v>W3330</x:v>
      </x:c>
      <x:c r="C168" s="7" t="n">
        <x:v>99.34338926031302</x:v>
      </x:c>
      <x:c r="D168" s="8" t="n">
        <x:f>ROUND(C168,2)</x:f>
        <x:v>99.34</x:v>
      </x:c>
      <x:c r="E168" s="2" t="str">
        <x:v>Rythern Master Price Sheet.xlsx | MASTER PRICE SHEET!I171</x:v>
      </x:c>
      <x:c r="F168" s="2"/>
      <x:c r="G168" s="2"/>
      <x:c r="H168" s="2"/>
    </x:row>
    <x:row r="169" ht="21" customHeight="1">
      <x:c r="A169" s="2" t="str">
        <x:v>W3336</x:v>
      </x:c>
      <x:c r="B169" s="2" t="str">
        <x:v>W3336</x:v>
      </x:c>
      <x:c r="C169" s="7" t="n">
        <x:v>120.7239992041991</x:v>
      </x:c>
      <x:c r="D169" s="8" t="n">
        <x:f>ROUND(C169,2)</x:f>
        <x:v>120.72</x:v>
      </x:c>
      <x:c r="E169" s="2" t="str">
        <x:v>Rythern Master Price Sheet.xlsx | MASTER PRICE SHEET!I172</x:v>
      </x:c>
      <x:c r="F169" s="2"/>
      <x:c r="G169" s="2"/>
      <x:c r="H169" s="2"/>
    </x:row>
    <x:row r="170" ht="21" customHeight="1">
      <x:c r="A170" s="2" t="str">
        <x:v>W3342</x:v>
      </x:c>
      <x:c r="B170" s="2" t="str">
        <x:v>W3342</x:v>
      </x:c>
      <x:c r="C170" s="7" t="n">
        <x:v>140.96271499257404</x:v>
      </x:c>
      <x:c r="D170" s="8" t="n">
        <x:f>ROUND(C170,2)</x:f>
        <x:v>140.96</x:v>
      </x:c>
      <x:c r="E170" s="2" t="str">
        <x:v>Rythern Master Price Sheet.xlsx | MASTER PRICE SHEET!I173</x:v>
      </x:c>
      <x:c r="F170" s="2"/>
      <x:c r="G170" s="2"/>
      <x:c r="H170" s="2"/>
    </x:row>
    <x:row r="171" ht="21" customHeight="1">
      <x:c r="A171" s="2" t="str">
        <x:v>W3612</x:v>
      </x:c>
      <x:c r="B171" s="2" t="str">
        <x:v>W3612</x:v>
      </x:c>
      <x:c r="C171" s="7" t="n">
        <x:v>61.80439100347775</x:v>
      </x:c>
      <x:c r="D171" s="8" t="n">
        <x:f>ROUND(C171,2)</x:f>
        <x:v>61.8</x:v>
      </x:c>
      <x:c r="E171" s="2" t="str">
        <x:v>Rythern Master Price Sheet.xlsx | MASTER PRICE SHEET!I174</x:v>
      </x:c>
      <x:c r="F171" s="2"/>
      <x:c r="G171" s="2"/>
      <x:c r="H171" s="2"/>
    </x:row>
    <x:row r="172" ht="21" customHeight="1">
      <x:c r="A172" s="2" t="str">
        <x:v>W361224</x:v>
      </x:c>
      <x:c r="B172" s="2" t="str">
        <x:v>W361224</x:v>
      </x:c>
      <x:c r="C172" s="7" t="n">
        <x:v>77.89489075651589</x:v>
      </x:c>
      <x:c r="D172" s="8" t="n">
        <x:f>ROUND(C172,2)</x:f>
        <x:v>77.89</x:v>
      </x:c>
      <x:c r="E172" s="2" t="str">
        <x:v>Rythern Master Price Sheet.xlsx | MASTER PRICE SHEET!I175</x:v>
      </x:c>
      <x:c r="F172" s="2"/>
      <x:c r="G172" s="2"/>
      <x:c r="H172" s="2"/>
    </x:row>
    <x:row r="173" ht="21" customHeight="1">
      <x:c r="A173" s="2" t="str">
        <x:v>W3615</x:v>
      </x:c>
      <x:c r="B173" s="2" t="str">
        <x:v>W3615</x:v>
      </x:c>
      <x:c r="C173" s="7" t="n">
        <x:v>67.10118763397463</x:v>
      </x:c>
      <x:c r="D173" s="8" t="n">
        <x:f>ROUND(C173,2)</x:f>
        <x:v>67.1</x:v>
      </x:c>
      <x:c r="E173" s="2" t="str">
        <x:v>Rythern Master Price Sheet.xlsx | MASTER PRICE SHEET!I176</x:v>
      </x:c>
      <x:c r="F173" s="2"/>
      <x:c r="G173" s="2"/>
      <x:c r="H173" s="2"/>
    </x:row>
    <x:row r="174" ht="21" customHeight="1">
      <x:c r="A174" s="2" t="str">
        <x:v>W361524</x:v>
      </x:c>
      <x:c r="B174" s="2" t="str">
        <x:v>W361524</x:v>
      </x:c>
      <x:c r="C174" s="7" t="n">
        <x:v>83.87158274136297</x:v>
      </x:c>
      <x:c r="D174" s="8" t="n">
        <x:f>ROUND(C174,2)</x:f>
        <x:v>83.87</x:v>
      </x:c>
      <x:c r="E174" s="2" t="str">
        <x:v>Rythern Master Price Sheet.xlsx | MASTER PRICE SHEET!I177</x:v>
      </x:c>
      <x:c r="F174" s="2"/>
      <x:c r="G174" s="2"/>
      <x:c r="H174" s="2"/>
    </x:row>
    <x:row r="175" ht="21" customHeight="1">
      <x:c r="A175" s="2" t="str">
        <x:v>W3618</x:v>
      </x:c>
      <x:c r="B175" s="2" t="str">
        <x:v>W3618</x:v>
      </x:c>
      <x:c r="C175" s="7" t="n">
        <x:v>71.85043877934885</x:v>
      </x:c>
      <x:c r="D175" s="8" t="n">
        <x:f>ROUND(C175,2)</x:f>
        <x:v>71.85</x:v>
      </x:c>
      <x:c r="E175" s="2" t="str">
        <x:v>Rythern Master Price Sheet.xlsx | MASTER PRICE SHEET!I178</x:v>
      </x:c>
      <x:c r="F175" s="2"/>
      <x:c r="G175" s="2"/>
      <x:c r="H175" s="2"/>
    </x:row>
    <x:row r="176" ht="21" customHeight="1">
      <x:c r="A176" s="2" t="str">
        <x:v>W361824</x:v>
      </x:c>
      <x:c r="B176" s="2" t="str">
        <x:v>W361824</x:v>
      </x:c>
      <x:c r="C176" s="7" t="n">
        <x:v>89.7235222243359</x:v>
      </x:c>
      <x:c r="D176" s="8" t="n">
        <x:f>ROUND(C176,2)</x:f>
        <x:v>89.72</x:v>
      </x:c>
      <x:c r="E176" s="2" t="str">
        <x:v>Rythern Master Price Sheet.xlsx | MASTER PRICE SHEET!I179</x:v>
      </x:c>
      <x:c r="F176" s="2"/>
      <x:c r="G176" s="2"/>
      <x:c r="H176" s="2"/>
    </x:row>
    <x:row r="177" ht="21" customHeight="1">
      <x:c r="A177" s="2" t="str">
        <x:v>W3624</x:v>
      </x:c>
      <x:c r="B177" s="2" t="str">
        <x:v>W3624</x:v>
      </x:c>
      <x:c r="C177" s="7" t="n">
        <x:v>90.61387270981596</x:v>
      </x:c>
      <x:c r="D177" s="8" t="n">
        <x:f>ROUND(C177,2)</x:f>
        <x:v>90.61</x:v>
      </x:c>
      <x:c r="E177" s="2" t="str">
        <x:v>Rythern Master Price Sheet.xlsx | MASTER PRICE SHEET!I180</x:v>
      </x:c>
      <x:c r="F177" s="2"/>
      <x:c r="G177" s="2"/>
      <x:c r="H177" s="2"/>
    </x:row>
    <x:row r="178" ht="21" customHeight="1">
      <x:c r="A178" s="2" t="str">
        <x:v>W362424</x:v>
      </x:c>
      <x:c r="B178" s="2" t="str">
        <x:v>W362424</x:v>
      </x:c>
      <x:c r="C178" s="7" t="n">
        <x:v>120.70660249794594</x:v>
      </x:c>
      <x:c r="D178" s="8" t="n">
        <x:f>ROUND(C178,2)</x:f>
        <x:v>120.71</x:v>
      </x:c>
      <x:c r="E178" s="2" t="str">
        <x:v>Rythern Master Price Sheet.xlsx | MASTER PRICE SHEET!I181</x:v>
      </x:c>
      <x:c r="F178" s="2"/>
      <x:c r="G178" s="2"/>
      <x:c r="H178" s="2"/>
    </x:row>
    <x:row r="179" ht="21" customHeight="1">
      <x:c r="A179" s="2" t="str">
        <x:v>W3630</x:v>
      </x:c>
      <x:c r="B179" s="2" t="str">
        <x:v>W3630</x:v>
      </x:c>
      <x:c r="C179" s="7" t="n">
        <x:v>114.08223505989633</x:v>
      </x:c>
      <x:c r="D179" s="8" t="n">
        <x:f>ROUND(C179,2)</x:f>
        <x:v>114.08</x:v>
      </x:c>
      <x:c r="E179" s="2" t="str">
        <x:v>Rythern Master Price Sheet.xlsx | MASTER PRICE SHEET!I182</x:v>
      </x:c>
      <x:c r="F179" s="2"/>
      <x:c r="G179" s="2"/>
      <x:c r="H179" s="2"/>
    </x:row>
    <x:row r="180" ht="21" customHeight="1">
      <x:c r="A180" s="2" t="str">
        <x:v>W3636</x:v>
      </x:c>
      <x:c r="B180" s="2" t="str">
        <x:v>W3636</x:v>
      </x:c>
      <x:c r="C180" s="7" t="n">
        <x:v>129.08979016396648</x:v>
      </x:c>
      <x:c r="D180" s="8" t="n">
        <x:f>ROUND(C180,2)</x:f>
        <x:v>129.09</x:v>
      </x:c>
      <x:c r="E180" s="2" t="str">
        <x:v>Rythern Master Price Sheet.xlsx | MASTER PRICE SHEET!I183</x:v>
      </x:c>
      <x:c r="F180" s="2"/>
      <x:c r="G180" s="2"/>
      <x:c r="H180" s="2"/>
    </x:row>
    <x:row r="181" ht="21" customHeight="1">
      <x:c r="A181" s="2" t="str">
        <x:v>W3642</x:v>
      </x:c>
      <x:c r="B181" s="2" t="str">
        <x:v>W3642</x:v>
      </x:c>
      <x:c r="C181" s="7" t="n">
        <x:v>150.8739681309411</x:v>
      </x:c>
      <x:c r="D181" s="8" t="n">
        <x:f>ROUND(C181,2)</x:f>
        <x:v>150.87</x:v>
      </x:c>
      <x:c r="E181" s="2" t="str">
        <x:v>Rythern Master Price Sheet.xlsx | MASTER PRICE SHEET!I184</x:v>
      </x:c>
      <x:c r="F181" s="2"/>
      <x:c r="G181" s="2"/>
      <x:c r="H181" s="2"/>
    </x:row>
    <x:row r="182" ht="21" customHeight="1">
      <x:c r="A182" s="2" t="str">
        <x:v>WBC2730</x:v>
      </x:c>
      <x:c r="B182" s="2" t="str">
        <x:v>WBC2730</x:v>
      </x:c>
      <x:c r="C182" s="7" t="n">
        <x:v>75.84315058336891</x:v>
      </x:c>
      <x:c r="D182" s="8" t="n">
        <x:f>ROUND(C182,2)</x:f>
        <x:v>75.84</x:v>
      </x:c>
      <x:c r="E182" s="2" t="str">
        <x:v>Rythern Master Price Sheet.xlsx | MASTER PRICE SHEET!I185</x:v>
      </x:c>
      <x:c r="F182" s="2"/>
      <x:c r="G182" s="2"/>
      <x:c r="H182" s="2"/>
    </x:row>
    <x:row r="183" ht="21" customHeight="1">
      <x:c r="A183" s="2" t="str">
        <x:v>WBC2736</x:v>
      </x:c>
      <x:c r="B183" s="2" t="str">
        <x:v>WBC2736</x:v>
      </x:c>
      <x:c r="C183" s="7" t="n">
        <x:v>86.29803464384452</x:v>
      </x:c>
      <x:c r="D183" s="8" t="n">
        <x:f>ROUND(C183,2)</x:f>
        <x:v>86.3</x:v>
      </x:c>
      <x:c r="E183" s="2" t="str">
        <x:v>Rythern Master Price Sheet.xlsx | MASTER PRICE SHEET!I186</x:v>
      </x:c>
      <x:c r="F183" s="2"/>
      <x:c r="G183" s="2"/>
      <x:c r="H183" s="2"/>
    </x:row>
    <x:row r="184" ht="21" customHeight="1">
      <x:c r="A184" s="2" t="str">
        <x:v>WBC2742</x:v>
      </x:c>
      <x:c r="B184" s="2" t="str">
        <x:v>WBC2742</x:v>
      </x:c>
      <x:c r="C184" s="7" t="n">
        <x:v>101.83199432348526</x:v>
      </x:c>
      <x:c r="D184" s="8" t="n">
        <x:f>ROUND(C184,2)</x:f>
        <x:v>101.83</x:v>
      </x:c>
      <x:c r="E184" s="2" t="str">
        <x:v>Rythern Master Price Sheet.xlsx | MASTER PRICE SHEET!I187</x:v>
      </x:c>
      <x:c r="F184" s="2"/>
      <x:c r="G184" s="2"/>
      <x:c r="H184" s="2"/>
    </x:row>
    <x:row r="185" ht="21" customHeight="1">
      <x:c r="A185" s="2" t="str">
        <x:v>WDEP30</x:v>
      </x:c>
      <x:c r="B185" s="2" t="str">
        <x:v>WDEP30</x:v>
      </x:c>
      <x:c r="C185" s="7" t="n">
        <x:v>14.166794699687243</x:v>
      </x:c>
      <x:c r="D185" s="8" t="n">
        <x:f>ROUND(C185,2)</x:f>
        <x:v>14.17</x:v>
      </x:c>
      <x:c r="E185" s="2" t="str">
        <x:v>Rythern Master Price Sheet.xlsx | MASTER PRICE SHEET!I188</x:v>
      </x:c>
      <x:c r="F185" s="2"/>
      <x:c r="G185" s="2"/>
      <x:c r="H185" s="2"/>
    </x:row>
    <x:row r="186" ht="21" customHeight="1">
      <x:c r="A186" s="2" t="str">
        <x:v>WDEP36</x:v>
      </x:c>
      <x:c r="B186" s="2" t="str">
        <x:v>WDEP36</x:v>
      </x:c>
      <x:c r="C186" s="7" t="n">
        <x:v>16.81843676427756</x:v>
      </x:c>
      <x:c r="D186" s="8" t="n">
        <x:f>ROUND(C186,2)</x:f>
        <x:v>16.82</x:v>
      </x:c>
      <x:c r="E186" s="2" t="str">
        <x:v>Rythern Master Price Sheet.xlsx | MASTER PRICE SHEET!I189</x:v>
      </x:c>
      <x:c r="F186" s="2"/>
      <x:c r="G186" s="2"/>
      <x:c r="H186" s="2"/>
    </x:row>
    <x:row r="187" ht="21" customHeight="1">
      <x:c r="A187" s="2" t="str">
        <x:v>WDEP42</x:v>
      </x:c>
      <x:c r="B187" s="2" t="str">
        <x:v>WDEP42</x:v>
      </x:c>
      <x:c r="C187" s="7" t="n">
        <x:v>19.727815621949315</x:v>
      </x:c>
      <x:c r="D187" s="8" t="n">
        <x:f>ROUND(C187,2)</x:f>
        <x:v>19.73</x:v>
      </x:c>
      <x:c r="E187" s="2" t="str">
        <x:v>Rythern Master Price Sheet.xlsx | MASTER PRICE SHEET!I190</x:v>
      </x:c>
      <x:c r="F187" s="2"/>
      <x:c r="G187" s="2"/>
      <x:c r="H187" s="2"/>
    </x:row>
    <x:row r="188" ht="21" customHeight="1">
      <x:c r="A188" s="2" t="str">
        <x:v>WRC2430</x:v>
      </x:c>
      <x:c r="B188" s="2" t="str">
        <x:v>WRC2430</x:v>
      </x:c>
      <x:c r="C188" s="7" t="n">
        <x:v>89.72649812979185</x:v>
      </x:c>
      <x:c r="D188" s="8" t="n">
        <x:f>ROUND(C188,2)</x:f>
        <x:v>89.73</x:v>
      </x:c>
      <x:c r="E188" s="2" t="str">
        <x:v>Rythern Master Price Sheet.xlsx | MASTER PRICE SHEET!I191</x:v>
      </x:c>
      <x:c r="F188" s="2"/>
      <x:c r="G188" s="2"/>
      <x:c r="H188" s="2"/>
    </x:row>
    <x:row r="189" ht="21" customHeight="1">
      <x:c r="A189" s="2" t="str">
        <x:v>WRC3018</x:v>
      </x:c>
      <x:c r="B189" s="2" t="str">
        <x:v>WRC3018</x:v>
      </x:c>
      <x:c r="C189" s="7" t="n">
        <x:v>81.92665511013584</x:v>
      </x:c>
      <x:c r="D189" s="8" t="n">
        <x:f>ROUND(C189,2)</x:f>
        <x:v>81.93</x:v>
      </x:c>
      <x:c r="E189" s="2" t="str">
        <x:v>Rythern Master Price Sheet.xlsx | MASTER PRICE SHEET!I192</x:v>
      </x:c>
      <x:c r="F189" s="2"/>
      <x:c r="G189" s="2"/>
      <x:c r="H189" s="2"/>
    </x:row>
    <x:row r="190" ht="21" customHeight="1">
      <x:c r="A190" s="2" t="str">
        <x:v>WSD630</x:v>
      </x:c>
      <x:c r="B190" s="2" t="str">
        <x:v>WSD630</x:v>
      </x:c>
      <x:c r="C190" s="7" t="n">
        <x:v>58.91877289384739</x:v>
      </x:c>
      <x:c r="D190" s="8" t="n">
        <x:f>ROUND(C190,2)</x:f>
        <x:v>58.92</x:v>
      </x:c>
      <x:c r="E190" s="2" t="str">
        <x:v>Rythern Master Price Sheet.xlsx | MASTER PRICE SHEET!I193</x:v>
      </x:c>
      <x:c r="F190" s="2"/>
      <x:c r="G190" s="2"/>
      <x:c r="H190" s="2"/>
    </x:row>
    <x:row r="191" ht="21" customHeight="1">
      <x:c r="A191" s="2" t="str">
        <x:v>WSV42</x:v>
      </x:c>
      <x:c r="B191" s="2" t="str">
        <x:v>WSV42</x:v>
      </x:c>
      <x:c r="C191" s="7" t="n">
        <x:v>6.616822082554399</x:v>
      </x:c>
      <x:c r="D191" s="8" t="n">
        <x:f>ROUND(C191,2)</x:f>
        <x:v>6.62</x:v>
      </x:c>
      <x:c r="E191" s="2" t="str">
        <x:v>Rythern Master Price Sheet.xlsx | MASTER PRICE SHEET!I194</x:v>
      </x:c>
      <x:c r="F191" s="2"/>
      <x:c r="G191" s="2"/>
      <x:c r="H191" s="2"/>
    </x:row>
    <x:row r="192" ht="21" customHeight="1">
      <x:c r="A192" s="2" t="str">
        <x:v>W302424</x:v>
      </x:c>
      <x:c r="B192" s="2" t="str">
        <x:v>W302424</x:v>
      </x:c>
      <x:c r="C192" s="7" t="n">
        <x:v>101.55087202151492</x:v>
      </x:c>
      <x:c r="D192" s="8" t="n">
        <x:f>ROUND(C192,2)</x:f>
        <x:v>101.55</x:v>
      </x:c>
      <x:c r="E192" s="2" t="str">
        <x:v>Rythern Master Price Sheet.xlsx | MASTER PRICE SHEET!I195</x:v>
      </x:c>
      <x:c r="F192" s="2"/>
      <x:c r="G192" s="2"/>
      <x:c r="H192" s="2"/>
    </x:row>
    <x:row r="193" ht="21" customHeight="1">
      <x:c r="A193" s="2" t="str">
        <x:v>W332424</x:v>
      </x:c>
      <x:c r="B193" s="2" t="str">
        <x:v>W332424</x:v>
      </x:c>
      <x:c r="C193" s="7" t="n">
        <x:v>109.70031955458951</x:v>
      </x:c>
      <x:c r="D193" s="8" t="n">
        <x:f>ROUND(C193,2)</x:f>
        <x:v>109.7</x:v>
      </x:c>
      <x:c r="E193" s="2" t="str">
        <x:v>Rythern Master Price Sheet.xlsx | MASTER PRICE SHEET!I196</x:v>
      </x:c>
      <x:c r="F193" s="2"/>
      <x:c r="G193" s="2"/>
      <x:c r="H193" s="2"/>
    </x:row>
    <x:row r="194" ht="21" customHeight="1">
      <x:c r="A194" s="2" t="str">
        <x:v>W331824</x:v>
      </x:c>
      <x:c r="B194" s="2" t="str">
        <x:v>W331824</x:v>
      </x:c>
      <x:c r="C194" s="7" t="n">
        <x:v>91.5808387143373</x:v>
      </x:c>
      <x:c r="D194" s="8" t="n">
        <x:f>ROUND(C194,2)</x:f>
        <x:v>91.58</x:v>
      </x:c>
      <x:c r="E194" s="2" t="str">
        <x:v>Rythern Master Price Sheet.xlsx | MASTER PRICE SHEET!I197</x:v>
      </x:c>
      <x:c r="F194" s="2"/>
      <x:c r="G194" s="2"/>
      <x:c r="H194" s="2"/>
    </x:row>
    <x:row r="195" ht="21" customHeight="1">
      <x:c r="A195" s="2" t="str">
        <x:v>W301824</x:v>
      </x:c>
      <x:c r="B195" s="2" t="str">
        <x:v>W301824</x:v>
      </x:c>
      <x:c r="C195" s="7" t="n">
        <x:v>84.74293571376661</x:v>
      </x:c>
      <x:c r="D195" s="8" t="n">
        <x:f>ROUND(C195,2)</x:f>
        <x:v>84.74</x:v>
      </x:c>
      <x:c r="E195" s="2" t="str">
        <x:v>Rythern Master Price Sheet.xlsx | MASTER PRICE SHEET!I198</x:v>
      </x:c>
      <x:c r="F195" s="2"/>
      <x:c r="G195" s="2"/>
      <x:c r="H195" s="2"/>
    </x:row>
    <x:row r="196" ht="21" customHeight="1">
      <x:c r="A196" s="2" t="str">
        <x:v>W331524</x:v>
      </x:c>
      <x:c r="B196" s="2" t="str">
        <x:v>W331524</x:v>
      </x:c>
      <x:c r="C196" s="7" t="n">
        <x:v>81.39468334800779</x:v>
      </x:c>
      <x:c r="D196" s="8" t="n">
        <x:f>ROUND(C196,2)</x:f>
        <x:v>81.39</x:v>
      </x:c>
      <x:c r="E196" s="2" t="str">
        <x:v>Rythern Master Price Sheet.xlsx | MASTER PRICE SHEET!I199</x:v>
      </x:c>
      <x:c r="F196" s="2"/>
      <x:c r="G196" s="2"/>
      <x:c r="H196" s="2"/>
    </x:row>
    <x:row r="197" ht="21" customHeight="1">
      <x:c r="A197" s="2" t="str">
        <x:v>W301524</x:v>
      </x:c>
      <x:c r="B197" s="2" t="str">
        <x:v>W301524</x:v>
      </x:c>
      <x:c r="C197" s="7" t="n">
        <x:v>75.32486951615358</x:v>
      </x:c>
      <x:c r="D197" s="8" t="n">
        <x:f>ROUND(C197,2)</x:f>
        <x:v>75.32</x:v>
      </x:c>
      <x:c r="E197" s="2" t="str">
        <x:v>Rythern Master Price Sheet.xlsx | MASTER PRICE SHEET!I200</x:v>
      </x:c>
      <x:c r="F197" s="2"/>
      <x:c r="G197" s="2"/>
      <x:c r="H197" s="2"/>
    </x:row>
    <x:row r="198" ht="21" customHeight="1">
      <x:c r="A198" s="2" t="str">
        <x:v>W331224</x:v>
      </x:c>
      <x:c r="B198" s="2" t="str">
        <x:v>W331224</x:v>
      </x:c>
      <x:c r="C198" s="7" t="n">
        <x:v>73.59353546439063</x:v>
      </x:c>
      <x:c r="D198" s="8" t="n">
        <x:f>ROUND(C198,2)</x:f>
        <x:v>73.59</x:v>
      </x:c>
      <x:c r="E198" s="2" t="str">
        <x:v>Rythern Master Price Sheet.xlsx | MASTER PRICE SHEET!I201</x:v>
      </x:c>
      <x:c r="F198" s="2"/>
      <x:c r="G198" s="2"/>
      <x:c r="H198" s="2"/>
    </x:row>
    <x:row r="199" ht="21" customHeight="1">
      <x:c r="A199" s="2" t="str">
        <x:v>W301224</x:v>
      </x:c>
      <x:c r="B199" s="2" t="str">
        <x:v>W301224</x:v>
      </x:c>
      <x:c r="C199" s="7" t="n">
        <x:v>68.10379370713598</x:v>
      </x:c>
      <x:c r="D199" s="8" t="n">
        <x:f>ROUND(C199,2)</x:f>
        <x:v>68.1</x:v>
      </x:c>
      <x:c r="E199" s="2" t="str">
        <x:v>Rythern Master Price Sheet.xlsx | MASTER PRICE SHEET!I202</x:v>
      </x:c>
      <x:c r="F199" s="2"/>
      <x:c r="G199" s="2"/>
      <x:c r="H199" s="2"/>
    </x:row>
    <x:row r="200" ht="21" customHeight="1">
      <x:c r="A200" s="2" t="str">
        <x:v>W3612GD</x:v>
      </x:c>
      <x:c r="B200" s="2" t="str">
        <x:v>W3612GD</x:v>
      </x:c>
      <x:c r="C200" s="7" t="n">
        <x:v>67.19400432658266</x:v>
      </x:c>
      <x:c r="D200" s="8" t="n">
        <x:f>ROUND(C200,2)</x:f>
        <x:v>67.19</x:v>
      </x:c>
      <x:c r="E200" s="2" t="str">
        <x:v>Rythern Master Price Sheet.xlsx | MASTER PRICE SHEET!I203</x:v>
      </x:c>
      <x:c r="F200" s="2"/>
      <x:c r="G200" s="2"/>
      <x:c r="H200" s="2"/>
    </x:row>
    <x:row r="201" ht="21" customHeight="1">
      <x:c r="A201" s="2" t="str">
        <x:v>W3312GD</x:v>
      </x:c>
      <x:c r="B201" s="2" t="str">
        <x:v>W3312GD</x:v>
      </x:c>
      <x:c r="C201" s="7" t="n">
        <x:v>63.57232339913212</x:v>
      </x:c>
      <x:c r="D201" s="8" t="n">
        <x:f>ROUND(C201,2)</x:f>
        <x:v>63.57</x:v>
      </x:c>
      <x:c r="E201" s="2" t="str">
        <x:v>Rythern Master Price Sheet.xlsx | MASTER PRICE SHEET!I204</x:v>
      </x:c>
      <x:c r="F201" s="2"/>
      <x:c r="G201" s="2"/>
      <x:c r="H201" s="2"/>
    </x:row>
    <x:row r="202" ht="21" customHeight="1">
      <x:c r="A202" s="2" t="str">
        <x:v>W3012GD</x:v>
      </x:c>
      <x:c r="B202" s="2" t="str">
        <x:v>W3012GD</x:v>
      </x:c>
      <x:c r="C202" s="7" t="n">
        <x:v>56.02845173850979</x:v>
      </x:c>
      <x:c r="D202" s="8" t="n">
        <x:f>ROUND(C202,2)</x:f>
        <x:v>56.03</x:v>
      </x:c>
      <x:c r="E202" s="2" t="str">
        <x:v>Rythern Master Price Sheet.xlsx | MASTER PRICE SHEET!I205</x:v>
      </x:c>
      <x:c r="F202" s="2"/>
      <x:c r="G202" s="2"/>
      <x:c r="H202" s="2"/>
    </x:row>
    <x:row r="203" ht="21" customHeight="1">
      <x:c r="A203" s="2" t="str">
        <x:v>W2712GD</x:v>
      </x:c>
      <x:c r="B203" s="2" t="str">
        <x:v>W2712GD</x:v>
      </x:c>
      <x:c r="C203" s="7" t="n">
        <x:v>55.57578851752239</x:v>
      </x:c>
      <x:c r="D203" s="8" t="n">
        <x:f>ROUND(C203,2)</x:f>
        <x:v>55.58</x:v>
      </x:c>
      <x:c r="E203" s="2" t="str">
        <x:v>Rythern Master Price Sheet.xlsx | MASTER PRICE SHEET!I206</x:v>
      </x:c>
      <x:c r="F203" s="2"/>
      <x:c r="G203" s="2"/>
      <x:c r="H203" s="2"/>
    </x:row>
    <x:row r="204" ht="21" customHeight="1">
      <x:c r="A204" s="2" t="str">
        <x:v>W2412GD</x:v>
      </x:c>
      <x:c r="B204" s="2" t="str">
        <x:v>W2412GD</x:v>
      </x:c>
      <x:c r="C204" s="7" t="n">
        <x:v>49.30395954777325</x:v>
      </x:c>
      <x:c r="D204" s="8" t="n">
        <x:f>ROUND(C204,2)</x:f>
        <x:v>49.3</x:v>
      </x:c>
      <x:c r="E204" s="2" t="str">
        <x:v>Rythern Master Price Sheet.xlsx | MASTER PRICE SHEET!I207</x:v>
      </x:c>
      <x:c r="F204" s="2"/>
      <x:c r="G204" s="2"/>
      <x:c r="H204" s="2"/>
    </x:row>
    <x:row r="205" ht="21" customHeight="1">
      <x:c r="A205" s="2" t="str">
        <x:v>W2112GD</x:v>
      </x:c>
      <x:c r="B205" s="2" t="str">
        <x:v>W2112GD</x:v>
      </x:c>
      <x:c r="C205" s="7" t="n">
        <x:v>47.21984423734187</x:v>
      </x:c>
      <x:c r="D205" s="8" t="n">
        <x:f>ROUND(C205,2)</x:f>
        <x:v>47.22</x:v>
      </x:c>
      <x:c r="E205" s="2" t="str">
        <x:v>Rythern Master Price Sheet.xlsx | MASTER PRICE SHEET!I208</x:v>
      </x:c>
      <x:c r="F205" s="2"/>
      <x:c r="G205" s="2"/>
      <x:c r="H205" s="2"/>
    </x:row>
    <x:row r="206" ht="21" customHeight="1">
      <x:c r="A206" s="2" t="str">
        <x:v>W1812GD</x:v>
      </x:c>
      <x:c r="B206" s="2" t="str">
        <x:v>W1812GD</x:v>
      </x:c>
      <x:c r="C206" s="7" t="n">
        <x:v>40.42229426281541</x:v>
      </x:c>
      <x:c r="D206" s="8" t="n">
        <x:f>ROUND(C206,2)</x:f>
        <x:v>40.42</x:v>
      </x:c>
      <x:c r="E206" s="2" t="str">
        <x:v>Rythern Master Price Sheet.xlsx | MASTER PRICE SHEET!I209</x:v>
      </x:c>
      <x:c r="F206" s="2"/>
      <x:c r="G206" s="2"/>
      <x:c r="H206" s="2"/>
    </x:row>
    <x:row r="207" ht="21" customHeight="1">
      <x:c r="A207" s="2" t="str">
        <x:v>W1512GD</x:v>
      </x:c>
      <x:c r="B207" s="2" t="str">
        <x:v>W1512GD</x:v>
      </x:c>
      <x:c r="C207" s="7" t="n">
        <x:v>33.688311871665576</x:v>
      </x:c>
      <x:c r="D207" s="8" t="n">
        <x:f>ROUND(C207,2)</x:f>
        <x:v>33.69</x:v>
      </x:c>
      <x:c r="E207" s="2" t="str">
        <x:v>Rythern Master Price Sheet.xlsx | MASTER PRICE SHEET!I210</x:v>
      </x:c>
      <x:c r="F207" s="2"/>
      <x:c r="G207" s="2"/>
      <x:c r="H207" s="2"/>
    </x:row>
    <x:row r="208" ht="21" customHeight="1">
      <x:c r="A208" s="2" t="str">
        <x:v>W1212GD</x:v>
      </x:c>
      <x:c r="B208" s="2" t="str">
        <x:v>W1212GD</x:v>
      </x:c>
      <x:c r="C208" s="7" t="n">
        <x:v>29.043349676891562</x:v>
      </x:c>
      <x:c r="D208" s="8" t="n">
        <x:f>ROUND(C208,2)</x:f>
        <x:v>29.04</x:v>
      </x:c>
      <x:c r="E208" s="2" t="str">
        <x:v>Rythern Master Price Sheet.xlsx | MASTER PRICE SHEET!I211</x:v>
      </x:c>
      <x:c r="F208" s="2"/>
      <x:c r="G208" s="2"/>
      <x:c r="H208" s="2"/>
    </x:row>
    <x:row r="209" ht="21" customHeight="1">
      <x:c r="A209" s="2" t="str">
        <x:v>DCW2412GD</x:v>
      </x:c>
      <x:c r="B209" s="2" t="str">
        <x:v>DCW2412GD</x:v>
      </x:c>
      <x:c r="C209" s="7" t="n">
        <x:v>62.543269493246136</x:v>
      </x:c>
      <x:c r="D209" s="8" t="n">
        <x:f>ROUND(C209,2)</x:f>
        <x:v>62.54</x:v>
      </x:c>
      <x:c r="E209" s="2" t="str">
        <x:v>Rythern Master Price Sheet.xlsx | MASTER PRICE SHEET!I212</x:v>
      </x:c>
      <x:c r="F209" s="2"/>
      <x:c r="G209" s="2"/>
      <x:c r="H209" s="2"/>
    </x:row>
    <x:row r="210" ht="21" customHeight="1">
      <x:c r="A210" s="2" t="str">
        <x:v>DCW2712GD</x:v>
      </x:c>
      <x:c r="B210" s="2" t="str">
        <x:v>DCW2712GD</x:v>
      </x:c>
      <x:c r="C210" s="7" t="n">
        <x:v>75.78185943618699</x:v>
      </x:c>
      <x:c r="D210" s="8" t="n">
        <x:f>ROUND(C210,2)</x:f>
        <x:v>75.78</x:v>
      </x:c>
      <x:c r="E210" s="2" t="str">
        <x:v>Rythern Master Price Sheet.xlsx | MASTER PRICE SHEET!I213</x:v>
      </x:c>
      <x:c r="F210" s="2"/>
      <x:c r="G210" s="2"/>
      <x:c r="H210" s="2"/>
    </x:row>
    <x:row r="211" ht="21" customHeight="1">
      <x:c r="A211" s="2" t="str">
        <x:v>WDEP1212</x:v>
      </x:c>
      <x:c r="B211" s="2" t="str">
        <x:v>WDEP1212</x:v>
      </x:c>
      <x:c r="C211" s="7" t="n">
        <x:v>8.417456427494773</x:v>
      </x:c>
      <x:c r="D211" s="8" t="n">
        <x:f>ROUND(C211,2)</x:f>
        <x:v>8.42</x:v>
      </x:c>
      <x:c r="E211" s="2" t="str">
        <x:v>Rythern Master Price Sheet.xlsx | MASTER PRICE SHEET!I214</x:v>
      </x:c>
      <x:c r="F211" s="2"/>
      <x:c r="G211" s="2"/>
      <x:c r="H211" s="2"/>
    </x:row>
    <x:row r="212" ht="21" customHeight="1">
      <x:c r="A212" s="2" t="str">
        <x:v>WDEP1218</x:v>
      </x:c>
      <x:c r="B212" s="2" t="str">
        <x:v>WDEP1218</x:v>
      </x:c>
      <x:c r="C212" s="7" t="n">
        <x:v>10.001064650337916</x:v>
      </x:c>
      <x:c r="D212" s="8" t="n">
        <x:f>ROUND(C212,2)</x:f>
        <x:v>10</x:v>
      </x:c>
      <x:c r="E212" s="2" t="str">
        <x:v>Rythern Master Price Sheet.xlsx | MASTER PRICE SHEET!I215</x:v>
      </x:c>
      <x:c r="F212" s="2"/>
      <x:c r="G212" s="2"/>
      <x:c r="H212" s="2"/>
    </x:row>
    <x:row r="213" ht="21" customHeight="1">
      <x:c r="A213" s="2" t="str">
        <x:v>UV-LSBTRAYSET</x:v>
      </x:c>
      <x:c r="B213" s="2" t="str">
        <x:v>UV-LSBTRAYSET</x:v>
      </x:c>
      <x:c r="C213" s="7" t="n">
        <x:v>99.83033376880019</x:v>
      </x:c>
      <x:c r="D213" s="8" t="n">
        <x:f>ROUND(C213,2)</x:f>
        <x:v>99.83</x:v>
      </x:c>
      <x:c r="E213" s="2" t="str">
        <x:v>Rythern Master Price Sheet.xlsx | MASTER PRICE SHEET!I216</x:v>
      </x:c>
      <x:c r="F213" s="2"/>
      <x:c r="G213" s="2"/>
      <x:c r="H213" s="2"/>
    </x:row>
    <x:row r="214" ht="21" customHeight="1">
      <x:c r="A214" s="2" t="str">
        <x:v>1DB30</x:v>
      </x:c>
      <x:c r="B214" s="2" t="str">
        <x:v>1DB30</x:v>
      </x:c>
      <x:c r="C214" s="7" t="n">
        <x:v>88.53709614271669</x:v>
      </x:c>
      <x:c r="D214" s="8" t="n">
        <x:f>ROUND(C214,2)</x:f>
        <x:v>88.54</x:v>
      </x:c>
      <x:c r="E214" s="2" t="str">
        <x:v>Rythern Master Price Sheet.xlsx | MASTER PRICE SHEET!I217</x:v>
      </x:c>
      <x:c r="F214" s="2"/>
      <x:c r="G214" s="2"/>
      <x:c r="H214" s="2"/>
    </x:row>
    <x:row r="215" ht="21" customHeight="1">
      <x:c r="A215" s="2" t="str">
        <x:v>2DB18</x:v>
      </x:c>
      <x:c r="B215" s="2" t="str">
        <x:v>2DB18</x:v>
      </x:c>
      <x:c r="C215" s="7" t="n">
        <x:v>145.8276198161701</x:v>
      </x:c>
      <x:c r="D215" s="8" t="n">
        <x:f>ROUND(C215,2)</x:f>
        <x:v>145.83</x:v>
      </x:c>
      <x:c r="E215" s="2" t="str">
        <x:v>Rythern Master Price Sheet.xlsx | MASTER PRICE SHEET!I218</x:v>
      </x:c>
      <x:c r="F215" s="2"/>
      <x:c r="G215" s="2"/>
      <x:c r="H215" s="2"/>
    </x:row>
    <x:row r="216" ht="21" customHeight="1">
      <x:c r="A216" s="2" t="str">
        <x:v>2DB24</x:v>
      </x:c>
      <x:c r="B216" s="2" t="str">
        <x:v>2DB24</x:v>
      </x:c>
      <x:c r="C216" s="7" t="n">
        <x:v>167.21322941484453</x:v>
      </x:c>
      <x:c r="D216" s="8" t="n">
        <x:f>ROUND(C216,2)</x:f>
        <x:v>167.21</x:v>
      </x:c>
      <x:c r="E216" s="2" t="str">
        <x:v>Rythern Master Price Sheet.xlsx | MASTER PRICE SHEET!I219</x:v>
      </x:c>
      <x:c r="F216" s="2"/>
      <x:c r="G216" s="2"/>
      <x:c r="H216" s="2"/>
    </x:row>
    <x:row r="217" ht="21" customHeight="1">
      <x:c r="A217" s="2" t="str">
        <x:v>2DB30</x:v>
      </x:c>
      <x:c r="B217" s="2" t="str">
        <x:v>2DB30</x:v>
      </x:c>
      <x:c r="C217" s="7" t="n">
        <x:v>189.80849446642662</x:v>
      </x:c>
      <x:c r="D217" s="8" t="n">
        <x:f>ROUND(C217,2)</x:f>
        <x:v>189.81</x:v>
      </x:c>
      <x:c r="E217" s="2" t="str">
        <x:v>Rythern Master Price Sheet.xlsx | MASTER PRICE SHEET!I220</x:v>
      </x:c>
      <x:c r="F217" s="2"/>
      <x:c r="G217" s="2"/>
      <x:c r="H217" s="2"/>
    </x:row>
    <x:row r="218" ht="21" customHeight="1">
      <x:c r="A218" s="2" t="str">
        <x:v>2DB36</x:v>
      </x:c>
      <x:c r="B218" s="2" t="str">
        <x:v>2DB36</x:v>
      </x:c>
      <x:c r="C218" s="7" t="n">
        <x:v>212.6741916290604</x:v>
      </x:c>
      <x:c r="D218" s="8" t="n">
        <x:f>ROUND(C218,2)</x:f>
        <x:v>212.67</x:v>
      </x:c>
      <x:c r="E218" s="2" t="str">
        <x:v>Rythern Master Price Sheet.xlsx | MASTER PRICE SHEET!I221</x:v>
      </x:c>
      <x:c r="F218" s="2"/>
      <x:c r="G218" s="2"/>
      <x:c r="H218" s="2"/>
    </x:row>
    <x:row r="219" ht="21" customHeight="1">
      <x:c r="A219" s="2" t="str">
        <x:v>FDW1230</x:v>
      </x:c>
      <x:c r="B219" s="2" t="str">
        <x:v>FDW1230</x:v>
      </x:c>
      <x:c r="C219" s="7" t="n">
        <x:v>25.343511671666928</x:v>
      </x:c>
      <x:c r="D219" s="8" t="n">
        <x:f>ROUND(C219,2)</x:f>
        <x:v>25.34</x:v>
      </x:c>
      <x:c r="E219" s="2" t="str">
        <x:v>Rythern Master Price Sheet.xlsx | MASTER PRICE SHEET!I222</x:v>
      </x:c>
      <x:c r="F219" s="2"/>
      <x:c r="G219" s="2"/>
      <x:c r="H219" s="2"/>
    </x:row>
    <x:row r="220" ht="21" customHeight="1">
      <x:c r="A220" s="2" t="str">
        <x:v>FDW1530</x:v>
      </x:c>
      <x:c r="B220" s="2" t="str">
        <x:v>FDW1530</x:v>
      </x:c>
      <x:c r="C220" s="7" t="n">
        <x:v>29.097448842767147</x:v>
      </x:c>
      <x:c r="D220" s="8" t="n">
        <x:f>ROUND(C220,2)</x:f>
        <x:v>29.1</x:v>
      </x:c>
      <x:c r="E220" s="2" t="str">
        <x:v>Rythern Master Price Sheet.xlsx | MASTER PRICE SHEET!I223</x:v>
      </x:c>
      <x:c r="F220" s="2"/>
      <x:c r="G220" s="2"/>
      <x:c r="H220" s="2"/>
    </x:row>
    <x:row r="221" ht="21" customHeight="1">
      <x:c r="A221" s="2" t="str">
        <x:v>FDW1830</x:v>
      </x:c>
      <x:c r="B221" s="2" t="str">
        <x:v>FDW1830</x:v>
      </x:c>
      <x:c r="C221" s="7" t="n">
        <x:v>32.84829197050951</x:v>
      </x:c>
      <x:c r="D221" s="8" t="n">
        <x:f>ROUND(C221,2)</x:f>
        <x:v>32.85</x:v>
      </x:c>
      <x:c r="E221" s="2" t="str">
        <x:v>Rythern Master Price Sheet.xlsx | MASTER PRICE SHEET!I224</x:v>
      </x:c>
      <x:c r="F221" s="2"/>
      <x:c r="G221" s="2"/>
      <x:c r="H221" s="2"/>
    </x:row>
    <x:row r="222" ht="21" customHeight="1">
      <x:c r="A222" s="2" t="str">
        <x:v>FDW2130</x:v>
      </x:c>
      <x:c r="B222" s="2" t="str">
        <x:v>FDW2130</x:v>
      </x:c>
      <x:c r="C222" s="7" t="n">
        <x:v>36.66336714441654</x:v>
      </x:c>
      <x:c r="D222" s="8" t="n">
        <x:f>ROUND(C222,2)</x:f>
        <x:v>36.66</x:v>
      </x:c>
      <x:c r="E222" s="2" t="str">
        <x:v>Rythern Master Price Sheet.xlsx | MASTER PRICE SHEET!I225</x:v>
      </x:c>
      <x:c r="F222" s="2"/>
      <x:c r="G222" s="2"/>
      <x:c r="H222" s="2"/>
    </x:row>
    <x:row r="223" ht="21" customHeight="1">
      <x:c r="A223" s="2" t="str">
        <x:v>FDW2430</x:v>
      </x:c>
      <x:c r="B223" s="2" t="str">
        <x:v>FDW2430</x:v>
      </x:c>
      <x:c r="C223" s="7" t="n">
        <x:v>44.158656221965806</x:v>
      </x:c>
      <x:c r="D223" s="8" t="n">
        <x:f>ROUND(C223,2)</x:f>
        <x:v>44.16</x:v>
      </x:c>
      <x:c r="E223" s="2" t="str">
        <x:v>Rythern Master Price Sheet.xlsx | MASTER PRICE SHEET!I226</x:v>
      </x:c>
      <x:c r="F223" s="2"/>
      <x:c r="G223" s="2"/>
      <x:c r="H223" s="2"/>
    </x:row>
    <x:row r="224" ht="21" customHeight="1">
      <x:c r="A224" s="2" t="str">
        <x:v>FDW2730</x:v>
      </x:c>
      <x:c r="B224" s="2" t="str">
        <x:v>FDW2730</x:v>
      </x:c>
      <x:c r="C224" s="7" t="n">
        <x:v>47.90356795544625</x:v>
      </x:c>
      <x:c r="D224" s="8" t="n">
        <x:f>ROUND(C224,2)</x:f>
        <x:v>47.9</x:v>
      </x:c>
      <x:c r="E224" s="2" t="str">
        <x:v>Rythern Master Price Sheet.xlsx | MASTER PRICE SHEET!I227</x:v>
      </x:c>
      <x:c r="F224" s="2"/>
      <x:c r="G224" s="2"/>
      <x:c r="H224" s="2"/>
    </x:row>
    <x:row r="225" ht="21" customHeight="1">
      <x:c r="A225" s="2" t="str">
        <x:v>FDW3030</x:v>
      </x:c>
      <x:c r="B225" s="2" t="str">
        <x:v>FDW3030</x:v>
      </x:c>
      <x:c r="C225" s="7" t="n">
        <x:v>51.6954367578354</x:v>
      </x:c>
      <x:c r="D225" s="8" t="n">
        <x:f>ROUND(C225,2)</x:f>
        <x:v>51.7</x:v>
      </x:c>
      <x:c r="E225" s="2" t="str">
        <x:v>Rythern Master Price Sheet.xlsx | MASTER PRICE SHEET!I228</x:v>
      </x:c>
      <x:c r="F225" s="2"/>
      <x:c r="G225" s="2"/>
      <x:c r="H225" s="2"/>
    </x:row>
    <x:row r="226" ht="21" customHeight="1">
      <x:c r="A226" s="2" t="str">
        <x:v>FDW3330</x:v>
      </x:c>
      <x:c r="B226" s="2" t="str">
        <x:v>FDW3330</x:v>
      </x:c>
      <x:c r="C226" s="7" t="n">
        <x:v>55.516343889333</x:v>
      </x:c>
      <x:c r="D226" s="8" t="n">
        <x:f>ROUND(C226,2)</x:f>
        <x:v>55.52</x:v>
      </x:c>
      <x:c r="E226" s="2" t="str">
        <x:v>Rythern Master Price Sheet.xlsx | MASTER PRICE SHEET!I229</x:v>
      </x:c>
      <x:c r="F226" s="2"/>
      <x:c r="G226" s="2"/>
      <x:c r="H226" s="2"/>
    </x:row>
    <x:row r="227" ht="21" customHeight="1">
      <x:c r="A227" s="2" t="str">
        <x:v>FDW3630</x:v>
      </x:c>
      <x:c r="B227" s="2" t="str">
        <x:v>FDW3630</x:v>
      </x:c>
      <x:c r="C227" s="7" t="n">
        <x:v>59.281573413095465</x:v>
      </x:c>
      <x:c r="D227" s="8" t="n">
        <x:f>ROUND(C227,2)</x:f>
        <x:v>59.28</x:v>
      </x:c>
      <x:c r="E227" s="2" t="str">
        <x:v>Rythern Master Price Sheet.xlsx | MASTER PRICE SHEET!I230</x:v>
      </x:c>
      <x:c r="F227" s="2"/>
      <x:c r="G227" s="2"/>
      <x:c r="H227" s="2"/>
    </x:row>
    <x:row r="228" ht="21" customHeight="1">
      <x:c r="A228" s="2" t="str">
        <x:v>FOL630</x:v>
      </x:c>
      <x:c r="B228" s="2" t="str">
        <x:v>FOL630</x:v>
      </x:c>
      <x:c r="C228" s="7" t="n">
        <x:v>8.762159213675055</x:v>
      </x:c>
      <x:c r="D228" s="8" t="n">
        <x:f>ROUND(C228,2)</x:f>
        <x:v>8.76</x:v>
      </x:c>
      <x:c r="E228" s="2" t="str">
        <x:v>Rythern Master Price Sheet.xlsx | MASTER PRICE SHEET!I231</x:v>
      </x:c>
      <x:c r="F228" s="2"/>
      <x:c r="G228" s="2"/>
      <x:c r="H228" s="2"/>
    </x:row>
    <x:row r="229" ht="21" customHeight="1">
      <x:c r="A229" s="2" t="str">
        <x:v>FOL636</x:v>
      </x:c>
      <x:c r="B229" s="2" t="str">
        <x:v>FOL636</x:v>
      </x:c>
      <x:c r="C229" s="7" t="n">
        <x:v>9.763149431009177</x:v>
      </x:c>
      <x:c r="D229" s="8" t="n">
        <x:f>ROUND(C229,2)</x:f>
        <x:v>9.76</x:v>
      </x:c>
      <x:c r="E229" s="2" t="str">
        <x:v>Rythern Master Price Sheet.xlsx | MASTER PRICE SHEET!I232</x:v>
      </x:c>
      <x:c r="F229" s="2"/>
      <x:c r="G229" s="2"/>
      <x:c r="H229" s="2"/>
    </x:row>
    <x:row r="230" ht="21" customHeight="1">
      <x:c r="A230" s="2" t="str">
        <x:v>FOL642</x:v>
      </x:c>
      <x:c r="B230" s="2" t="str">
        <x:v>FOL642</x:v>
      </x:c>
      <x:c r="C230" s="7" t="n">
        <x:v>10.6795290976303</x:v>
      </x:c>
      <x:c r="D230" s="8" t="n">
        <x:f>ROUND(C230,2)</x:f>
        <x:v>10.68</x:v>
      </x:c>
      <x:c r="E230" s="2" t="str">
        <x:v>Rythern Master Price Sheet.xlsx | MASTER PRICE SHEET!I233</x:v>
      </x:c>
      <x:c r="F230" s="2"/>
      <x:c r="G230" s="2"/>
      <x:c r="H230" s="2"/>
    </x:row>
    <x:row r="231" ht="21" customHeight="1">
      <x:c r="A231" s="2" t="str">
        <x:v>FS36</x:v>
      </x:c>
      <x:c r="B231" s="2" t="str">
        <x:v>FS36</x:v>
      </x:c>
      <x:c r="C231" s="7" t="n">
        <x:v>22.258748727575142</x:v>
      </x:c>
      <x:c r="D231" s="8" t="n">
        <x:f>ROUND(C231,2)</x:f>
        <x:v>22.26</x:v>
      </x:c>
      <x:c r="E231" s="2" t="str">
        <x:v>Rythern Master Price Sheet.xlsx | MASTER PRICE SHEET!I234</x:v>
      </x:c>
      <x:c r="F231" s="2"/>
      <x:c r="G231" s="2"/>
      <x:c r="H231" s="2"/>
    </x:row>
    <x:row r="232" ht="21" customHeight="1">
      <x:c r="A232" s="2" t="str">
        <x:v>FS48</x:v>
      </x:c>
      <x:c r="B232" s="2" t="str">
        <x:v>FS48</x:v>
      </x:c>
      <x:c r="C232" s="7" t="n">
        <x:v>32.729950223412715</x:v>
      </x:c>
      <x:c r="D232" s="8" t="n">
        <x:f>ROUND(C232,2)</x:f>
        <x:v>32.73</x:v>
      </x:c>
      <x:c r="E232" s="2" t="str">
        <x:v>Rythern Master Price Sheet.xlsx | MASTER PRICE SHEET!I235</x:v>
      </x:c>
      <x:c r="F232" s="2"/>
      <x:c r="G232" s="2"/>
      <x:c r="H232" s="2"/>
    </x:row>
    <x:row r="233" ht="21" customHeight="1">
      <x:c r="A233" s="2" t="str">
        <x:v>FS60</x:v>
      </x:c>
      <x:c r="B233" s="2" t="str">
        <x:v>FS60</x:v>
      </x:c>
      <x:c r="C233" s="7" t="n">
        <x:v>38.03567901921616</x:v>
      </x:c>
      <x:c r="D233" s="8" t="n">
        <x:f>ROUND(C233,2)</x:f>
        <x:v>38.04</x:v>
      </x:c>
      <x:c r="E233" s="2" t="str">
        <x:v>Rythern Master Price Sheet.xlsx | MASTER PRICE SHEET!I236</x:v>
      </x:c>
      <x:c r="F233" s="2"/>
      <x:c r="G233" s="2"/>
      <x:c r="H233" s="2"/>
    </x:row>
    <x:row r="234" ht="21" customHeight="1">
      <x:c r="A234" s="2" t="str">
        <x:v>WMSSHELF</x:v>
      </x:c>
      <x:c r="B234" s="2" t="str">
        <x:v>WMSSHELF</x:v>
      </x:c>
      <x:c r="C234" s="7" t="n">
        <x:v>14.190307087788764</x:v>
      </x:c>
      <x:c r="D234" s="8" t="n">
        <x:f>ROUND(C234,2)</x:f>
        <x:v>14.19</x:v>
      </x:c>
      <x:c r="E234" s="2" t="str">
        <x:v>Rythern Master Price Sheet.xlsx | MASTER PRICE SHEET!I237; Rythern Master Price Sheet.xlsx | MASTER PRICE SHEET!I472</x:v>
      </x:c>
      <x:c r="F234" s="2"/>
      <x:c r="G234" s="2"/>
      <x:c r="H234" s="2"/>
    </x:row>
    <x:row r="235" ht="21" customHeight="1">
      <x:c r="A235" s="2" t="str">
        <x:v>WOC3018</x:v>
      </x:c>
      <x:c r="B235" s="2" t="str">
        <x:v>WOC3018</x:v>
      </x:c>
      <x:c r="C235" s="7" t="n">
        <x:v>36.41676003581279</x:v>
      </x:c>
      <x:c r="D235" s="8" t="n">
        <x:f>ROUND(C235,2)</x:f>
        <x:v>36.42</x:v>
      </x:c>
      <x:c r="E235" s="2" t="str">
        <x:v>Rythern Master Price Sheet.xlsx | MASTER PRICE SHEET!I238</x:v>
      </x:c>
      <x:c r="F235" s="2"/>
      <x:c r="G235" s="2"/>
      <x:c r="H235" s="2"/>
    </x:row>
    <x:row r="236" ht="21" customHeight="1">
      <x:c r="A236" s="2" t="str">
        <x:v>WXRSHELF</x:v>
      </x:c>
      <x:c r="B236" s="2" t="str">
        <x:v>WXRSHELF</x:v>
      </x:c>
      <x:c r="C236" s="7" t="n">
        <x:v>15.877606711942668</x:v>
      </x:c>
      <x:c r="D236" s="8" t="n">
        <x:f>ROUND(C236,2)</x:f>
        <x:v>15.88</x:v>
      </x:c>
      <x:c r="E236" s="2" t="str">
        <x:v>Rythern Master Price Sheet.xlsx | MASTER PRICE SHEET!I239; Rythern Master Price Sheet.xlsx | MASTER PRICE SHEET!I475</x:v>
      </x:c>
      <x:c r="F236" s="2"/>
      <x:c r="G236" s="2"/>
      <x:c r="H236" s="2"/>
    </x:row>
    <x:row r="237" ht="21" customHeight="1">
      <x:c r="A237" s="2" t="str">
        <x:v>BFOL634</x:v>
      </x:c>
      <x:c r="B237" s="2" t="str">
        <x:v>BFOL634</x:v>
      </x:c>
      <x:c r="C237" s="7" t="n">
        <x:v>9.680250521046418</x:v>
      </x:c>
      <x:c r="D237" s="8" t="n">
        <x:f>ROUND(C237,2)</x:f>
        <x:v>9.68</x:v>
      </x:c>
      <x:c r="E237" s="2" t="str">
        <x:v>Rythern Master Price Sheet.xlsx | MASTER PRICE SHEET!I240</x:v>
      </x:c>
      <x:c r="F237" s="2"/>
      <x:c r="G237" s="2"/>
      <x:c r="H237" s="2"/>
    </x:row>
    <x:row r="238" ht="21" customHeight="1">
      <x:c r="A238" s="2" t="str">
        <x:v>4DB12</x:v>
      </x:c>
      <x:c r="B238" s="2" t="str">
        <x:v>4DB12</x:v>
      </x:c>
      <x:c r="C238" s="7" t="n">
        <x:v>171.2182065872892</x:v>
      </x:c>
      <x:c r="D238" s="8" t="n">
        <x:f>ROUND(C238,2)</x:f>
        <x:v>171.22</x:v>
      </x:c>
      <x:c r="E238" s="2" t="str">
        <x:v>Rythern Master Price Sheet.xlsx | MASTER PRICE SHEET!I241</x:v>
      </x:c>
      <x:c r="F238" s="2"/>
      <x:c r="G238" s="2"/>
      <x:c r="H238" s="2"/>
    </x:row>
    <x:row r="239" ht="21" customHeight="1">
      <x:c r="A239" s="2" t="str">
        <x:v>4DB15</x:v>
      </x:c>
      <x:c r="B239" s="2" t="str">
        <x:v>4DB15</x:v>
      </x:c>
      <x:c r="C239" s="7" t="n">
        <x:v>181.69728953837685</x:v>
      </x:c>
      <x:c r="D239" s="8" t="n">
        <x:f>ROUND(C239,2)</x:f>
        <x:v>181.7</x:v>
      </x:c>
      <x:c r="E239" s="2" t="str">
        <x:v>Rythern Master Price Sheet.xlsx | MASTER PRICE SHEET!I242</x:v>
      </x:c>
      <x:c r="F239" s="2"/>
      <x:c r="G239" s="2"/>
      <x:c r="H239" s="2"/>
    </x:row>
    <x:row r="240" ht="21" customHeight="1">
      <x:c r="A240" s="2" t="str">
        <x:v>4DB18</x:v>
      </x:c>
      <x:c r="B240" s="2" t="str">
        <x:v>4DB18</x:v>
      </x:c>
      <x:c r="C240" s="7" t="n">
        <x:v>192.14269297195014</x:v>
      </x:c>
      <x:c r="D240" s="8" t="n">
        <x:f>ROUND(C240,2)</x:f>
        <x:v>192.14</x:v>
      </x:c>
      <x:c r="E240" s="2" t="str">
        <x:v>Rythern Master Price Sheet.xlsx | MASTER PRICE SHEET!I243</x:v>
      </x:c>
      <x:c r="F240" s="2"/>
      <x:c r="G240" s="2"/>
      <x:c r="H240" s="2"/>
    </x:row>
    <x:row r="241" ht="21" customHeight="1">
      <x:c r="A241" s="2" t="str">
        <x:v>4DB21</x:v>
      </x:c>
      <x:c r="B241" s="2" t="str">
        <x:v>4DB21</x:v>
      </x:c>
      <x:c r="C241" s="7" t="n">
        <x:v>203.52366871899576</x:v>
      </x:c>
      <x:c r="D241" s="8" t="n">
        <x:f>ROUND(C241,2)</x:f>
        <x:v>203.52</x:v>
      </x:c>
      <x:c r="E241" s="2" t="str">
        <x:v>Rythern Master Price Sheet.xlsx | MASTER PRICE SHEET!I244</x:v>
      </x:c>
      <x:c r="F241" s="2"/>
      <x:c r="G241" s="2"/>
      <x:c r="H241" s="2"/>
    </x:row>
    <x:row r="242" ht="21" customHeight="1">
      <x:c r="A242" s="2" t="str">
        <x:v>4DB24</x:v>
      </x:c>
      <x:c r="B242" s="2" t="str">
        <x:v>4DB24</x:v>
      </x:c>
      <x:c r="C242" s="7" t="n">
        <x:v>213.8930061593876</x:v>
      </x:c>
      <x:c r="D242" s="8" t="n">
        <x:f>ROUND(C242,2)</x:f>
        <x:v>213.89</x:v>
      </x:c>
      <x:c r="E242" s="2" t="str">
        <x:v>Rythern Master Price Sheet.xlsx | MASTER PRICE SHEET!I245</x:v>
      </x:c>
      <x:c r="F242" s="2"/>
      <x:c r="G242" s="2"/>
      <x:c r="H242" s="2"/>
    </x:row>
    <x:row r="243" ht="21" customHeight="1">
      <x:c r="A243" s="2" t="str">
        <x:v>4DB30</x:v>
      </x:c>
      <x:c r="B243" s="2" t="str">
        <x:v>4DB30</x:v>
      </x:c>
      <x:c r="C243" s="7" t="n">
        <x:v>235.7700444747401</x:v>
      </x:c>
      <x:c r="D243" s="8" t="n">
        <x:f>ROUND(C243,2)</x:f>
        <x:v>235.77</x:v>
      </x:c>
      <x:c r="E243" s="2" t="str">
        <x:v>Rythern Master Price Sheet.xlsx | MASTER PRICE SHEET!I246</x:v>
      </x:c>
      <x:c r="F243" s="2"/>
      <x:c r="G243" s="2"/>
      <x:c r="H243" s="2"/>
    </x:row>
    <x:row r="244" ht="21" customHeight="1">
      <x:c r="A244" s="2" t="str">
        <x:v>4DB36</x:v>
      </x:c>
      <x:c r="B244" s="2" t="str">
        <x:v>4DB36</x:v>
      </x:c>
      <x:c r="C244" s="7" t="n">
        <x:v>256.6485941684377</x:v>
      </x:c>
      <x:c r="D244" s="8" t="n">
        <x:f>ROUND(C244,2)</x:f>
        <x:v>256.65</x:v>
      </x:c>
      <x:c r="E244" s="2" t="str">
        <x:v>Rythern Master Price Sheet.xlsx | MASTER PRICE SHEET!I247</x:v>
      </x:c>
      <x:c r="F244" s="2"/>
      <x:c r="G244" s="2"/>
      <x:c r="H244" s="2"/>
    </x:row>
    <x:row r="245" ht="21" customHeight="1">
      <x:c r="A245" s="2" t="str">
        <x:v>DCSF36</x:v>
      </x:c>
      <x:c r="B245" s="2" t="str">
        <x:v>DCSF36</x:v>
      </x:c>
      <x:c r="C245" s="7" t="n">
        <x:v>42.07330914828855</x:v>
      </x:c>
      <x:c r="D245" s="8" t="n">
        <x:f>ROUND(C245,2)</x:f>
        <x:v>42.07</x:v>
      </x:c>
      <x:c r="E245" s="2" t="str">
        <x:v>Rythern Master Price Sheet.xlsx | MASTER PRICE SHEET!I248</x:v>
      </x:c>
      <x:c r="F245" s="2"/>
      <x:c r="G245" s="2"/>
      <x:c r="H245" s="2"/>
    </x:row>
    <x:row r="246" ht="21" customHeight="1">
      <x:c r="A246" s="2" t="str">
        <x:v>DKD30</x:v>
      </x:c>
      <x:c r="B246" s="2" t="str">
        <x:v>DKD30</x:v>
      </x:c>
      <x:c r="C246" s="7" t="n">
        <x:v>55.64081239936857</x:v>
      </x:c>
      <x:c r="D246" s="8" t="n">
        <x:f>ROUND(C246,2)</x:f>
        <x:v>55.64</x:v>
      </x:c>
      <x:c r="E246" s="2" t="str">
        <x:v>Rythern Master Price Sheet.xlsx | MASTER PRICE SHEET!I249; Rythern Master Price Sheet.xlsx | MASTER PRICE SHEET!I440</x:v>
      </x:c>
      <x:c r="F246" s="2"/>
      <x:c r="G246" s="2"/>
      <x:c r="H246" s="2"/>
    </x:row>
    <x:row r="247" ht="21" customHeight="1">
      <x:c r="A247" s="2" t="str">
        <x:v>LACM8</x:v>
      </x:c>
      <x:c r="B247" s="2" t="str">
        <x:v>LACM8</x:v>
      </x:c>
      <x:c r="C247" s="7" t="n">
        <x:v>41.7966495058088</x:v>
      </x:c>
      <x:c r="D247" s="8" t="n">
        <x:f>ROUND(C247,2)</x:f>
        <x:v>41.8</x:v>
      </x:c>
      <x:c r="E247" s="2" t="str">
        <x:v>Rythern Master Price Sheet.xlsx | MASTER PRICE SHEET!I250</x:v>
      </x:c>
      <x:c r="F247" s="2"/>
      <x:c r="G247" s="2"/>
      <x:c r="H247" s="2"/>
    </x:row>
    <x:row r="248" ht="21" customHeight="1">
      <x:c r="A248" s="2" t="str">
        <x:v>MCB</x:v>
      </x:c>
      <x:c r="B248" s="2" t="str">
        <x:v>MCB</x:v>
      </x:c>
      <x:c r="C248" s="7" t="n">
        <x:v>53.55115230136719</x:v>
      </x:c>
      <x:c r="D248" s="8" t="n">
        <x:f>ROUND(C248,2)</x:f>
        <x:v>53.55</x:v>
      </x:c>
      <x:c r="E248" s="2" t="str">
        <x:v>Rythern Master Price Sheet.xlsx | MASTER PRICE SHEET!I251</x:v>
      </x:c>
      <x:c r="F248" s="2"/>
      <x:c r="G248" s="2"/>
      <x:c r="H248" s="2"/>
    </x:row>
    <x:row r="249" ht="21" customHeight="1">
      <x:c r="A249" s="2" t="str">
        <x:v>REPV3096</x:v>
      </x:c>
      <x:c r="B249" s="2" t="str">
        <x:v>REPV3096</x:v>
      </x:c>
      <x:c r="C249" s="7" t="n">
        <x:v>61.5148712551329</x:v>
      </x:c>
      <x:c r="D249" s="8" t="n">
        <x:f>ROUND(C249,2)</x:f>
        <x:v>61.51</x:v>
      </x:c>
      <x:c r="E249" s="2" t="str">
        <x:v>Rythern Master Price Sheet.xlsx | MASTER PRICE SHEET!I252</x:v>
      </x:c>
      <x:c r="F249" s="2"/>
      <x:c r="G249" s="2"/>
      <x:c r="H249" s="2"/>
    </x:row>
    <x:row r="250" ht="21" customHeight="1">
      <x:c r="A250" s="2" t="str">
        <x:v>SBF3636</x:v>
      </x:c>
      <x:c r="B250" s="2" t="str">
        <x:v>SBF3636</x:v>
      </x:c>
      <x:c r="C250" s="7" t="n">
        <x:v>21.09423929394644</x:v>
      </x:c>
      <x:c r="D250" s="8" t="n">
        <x:f>ROUND(C250,2)</x:f>
        <x:v>21.09</x:v>
      </x:c>
      <x:c r="E250" s="2" t="str">
        <x:v>Rythern Master Price Sheet.xlsx | MASTER PRICE SHEET!I253</x:v>
      </x:c>
      <x:c r="F250" s="2"/>
      <x:c r="G250" s="2"/>
      <x:c r="H250" s="2"/>
    </x:row>
    <x:row r="251" ht="21" customHeight="1">
      <x:c r="A251" s="2" t="str">
        <x:v>SQDL</x:v>
      </x:c>
      <x:c r="B251" s="2" t="str">
        <x:v>SQDL</x:v>
      </x:c>
      <x:c r="C251" s="7" t="n">
        <x:v>59.84634647007673</x:v>
      </x:c>
      <x:c r="D251" s="8" t="n">
        <x:f>ROUND(C251,2)</x:f>
        <x:v>59.85</x:v>
      </x:c>
      <x:c r="E251" s="2" t="str">
        <x:v>Rythern Master Price Sheet.xlsx | MASTER PRICE SHEET!I254</x:v>
      </x:c>
      <x:c r="F251" s="2"/>
      <x:c r="G251" s="2"/>
      <x:c r="H251" s="2"/>
    </x:row>
    <x:row r="252" ht="21" customHeight="1">
      <x:c r="A252" s="2" t="str">
        <x:v>TAA12</x:v>
      </x:c>
      <x:c r="B252" s="2" t="str">
        <x:v>TAA12</x:v>
      </x:c>
      <x:c r="C252" s="7" t="n">
        <x:v>10.688022261749374</x:v>
      </x:c>
      <x:c r="D252" s="8" t="n">
        <x:f>ROUND(C252,2)</x:f>
        <x:v>10.69</x:v>
      </x:c>
      <x:c r="E252" s="2" t="str">
        <x:v>Rythern Master Price Sheet.xlsx | MASTER PRICE SHEET!I255</x:v>
      </x:c>
      <x:c r="F252" s="2"/>
      <x:c r="G252" s="2"/>
      <x:c r="H252" s="2"/>
    </x:row>
    <x:row r="253" ht="21" customHeight="1">
      <x:c r="A253" s="2" t="str">
        <x:v>TAA15</x:v>
      </x:c>
      <x:c r="B253" s="2" t="str">
        <x:v>TAA15</x:v>
      </x:c>
      <x:c r="C253" s="7" t="n">
        <x:v>11.414406521571003</x:v>
      </x:c>
      <x:c r="D253" s="8" t="n">
        <x:f>ROUND(C253,2)</x:f>
        <x:v>11.41</x:v>
      </x:c>
      <x:c r="E253" s="2" t="str">
        <x:v>Rythern Master Price Sheet.xlsx | MASTER PRICE SHEET!I256</x:v>
      </x:c>
      <x:c r="F253" s="2"/>
      <x:c r="G253" s="2"/>
      <x:c r="H253" s="2"/>
    </x:row>
    <x:row r="254" ht="21" customHeight="1">
      <x:c r="A254" s="2" t="str">
        <x:v>TAA18</x:v>
      </x:c>
      <x:c r="B254" s="2" t="str">
        <x:v>TAA18</x:v>
      </x:c>
      <x:c r="C254" s="7" t="n">
        <x:v>12.139014406252356</x:v>
      </x:c>
      <x:c r="D254" s="8" t="n">
        <x:f>ROUND(C254,2)</x:f>
        <x:v>12.14</x:v>
      </x:c>
      <x:c r="E254" s="2" t="str">
        <x:v>Rythern Master Price Sheet.xlsx | MASTER PRICE SHEET!I257</x:v>
      </x:c>
      <x:c r="F254" s="2"/>
      <x:c r="G254" s="2"/>
      <x:c r="H254" s="2"/>
    </x:row>
    <x:row r="255" ht="21" customHeight="1">
      <x:c r="A255" s="2" t="str">
        <x:v>TAA21</x:v>
      </x:c>
      <x:c r="B255" s="2" t="str">
        <x:v>TAA21</x:v>
      </x:c>
      <x:c r="C255" s="7" t="n">
        <x:v>12.858107403408576</x:v>
      </x:c>
      <x:c r="D255" s="8" t="n">
        <x:f>ROUND(C255,2)</x:f>
        <x:v>12.86</x:v>
      </x:c>
      <x:c r="E255" s="2" t="str">
        <x:v>Rythern Master Price Sheet.xlsx | MASTER PRICE SHEET!I258</x:v>
      </x:c>
      <x:c r="F255" s="2"/>
      <x:c r="G255" s="2"/>
      <x:c r="H255" s="2"/>
    </x:row>
    <x:row r="256" ht="21" customHeight="1">
      <x:c r="A256" s="2" t="str">
        <x:v>TAA24</x:v>
      </x:c>
      <x:c r="B256" s="2" t="str">
        <x:v>TAA24</x:v>
      </x:c>
      <x:c r="C256" s="7" t="n">
        <x:v>13.5781866627151</x:v>
      </x:c>
      <x:c r="D256" s="8" t="n">
        <x:f>ROUND(C256,2)</x:f>
        <x:v>13.58</x:v>
      </x:c>
      <x:c r="E256" s="2" t="str">
        <x:v>Rythern Master Price Sheet.xlsx | MASTER PRICE SHEET!I259</x:v>
      </x:c>
      <x:c r="F256" s="2"/>
      <x:c r="G256" s="2"/>
      <x:c r="H256" s="2"/>
    </x:row>
    <x:row r="257" ht="21" customHeight="1">
      <x:c r="A257" s="2" t="str">
        <x:v>TAA30</x:v>
      </x:c>
      <x:c r="B257" s="2" t="str">
        <x:v>TAA30</x:v>
      </x:c>
      <x:c r="C257" s="7" t="n">
        <x:v>15.0111438396814</x:v>
      </x:c>
      <x:c r="D257" s="8" t="n">
        <x:f>ROUND(C257,2)</x:f>
        <x:v>15.01</x:v>
      </x:c>
      <x:c r="E257" s="2" t="str">
        <x:v>Rythern Master Price Sheet.xlsx | MASTER PRICE SHEET!I260</x:v>
      </x:c>
      <x:c r="F257" s="2"/>
      <x:c r="G257" s="2"/>
      <x:c r="H257" s="2"/>
    </x:row>
    <x:row r="258" ht="21" customHeight="1">
      <x:c r="A258" s="2" t="str">
        <x:v>TAA36</x:v>
      </x:c>
      <x:c r="B258" s="2" t="str">
        <x:v>TAA36</x:v>
      </x:c>
      <x:c r="C258" s="7" t="n">
        <x:v>16.43835115267403</x:v>
      </x:c>
      <x:c r="D258" s="8" t="n">
        <x:f>ROUND(C258,2)</x:f>
        <x:v>16.44</x:v>
      </x:c>
      <x:c r="E258" s="2" t="str">
        <x:v>Rythern Master Price Sheet.xlsx | MASTER PRICE SHEET!I261</x:v>
      </x:c>
      <x:c r="F258" s="2"/>
      <x:c r="G258" s="2"/>
      <x:c r="H258" s="2"/>
    </x:row>
    <x:row r="259" ht="21" customHeight="1">
      <x:c r="A259" s="2" t="str">
        <x:v>TAA42</x:v>
      </x:c>
      <x:c r="B259" s="2" t="str">
        <x:v>TAA42</x:v>
      </x:c>
      <x:c r="C259" s="7" t="n">
        <x:v>18.068478980091008</x:v>
      </x:c>
      <x:c r="D259" s="8" t="n">
        <x:f>ROUND(C259,2)</x:f>
        <x:v>18.07</x:v>
      </x:c>
      <x:c r="E259" s="2" t="str">
        <x:v>Rythern Master Price Sheet.xlsx | MASTER PRICE SHEET!I262</x:v>
      </x:c>
      <x:c r="F259" s="2"/>
      <x:c r="G259" s="2"/>
      <x:c r="H259" s="2"/>
    </x:row>
    <x:row r="260" ht="21" customHeight="1">
      <x:c r="A260" s="2" t="str">
        <x:v>TAA48</x:v>
      </x:c>
      <x:c r="B260" s="2" t="str">
        <x:v>TAA48</x:v>
      </x:c>
      <x:c r="C260" s="7" t="n">
        <x:v>27.59571862383998</x:v>
      </x:c>
      <x:c r="D260" s="8" t="n">
        <x:f>ROUND(C260,2)</x:f>
        <x:v>27.6</x:v>
      </x:c>
      <x:c r="E260" s="2" t="str">
        <x:v>Rythern Master Price Sheet.xlsx | MASTER PRICE SHEET!I263</x:v>
      </x:c>
      <x:c r="F260" s="2"/>
      <x:c r="G260" s="2"/>
      <x:c r="H260" s="2"/>
    </x:row>
    <x:row r="261" ht="21" customHeight="1">
      <x:c r="A261" s="2" t="str">
        <x:v>TAA60</x:v>
      </x:c>
      <x:c r="B261" s="2" t="str">
        <x:v>TAA60</x:v>
      </x:c>
      <x:c r="C261" s="7" t="n">
        <x:v>30.452119445014787</x:v>
      </x:c>
      <x:c r="D261" s="8" t="n">
        <x:f>ROUND(C261,2)</x:f>
        <x:v>30.45</x:v>
      </x:c>
      <x:c r="E261" s="2" t="str">
        <x:v>Rythern Master Price Sheet.xlsx | MASTER PRICE SHEET!I264</x:v>
      </x:c>
      <x:c r="F261" s="2"/>
      <x:c r="G261" s="2"/>
      <x:c r="H261" s="2"/>
    </x:row>
    <x:row r="262" ht="21" customHeight="1">
      <x:c r="A262" s="2" t="str">
        <x:v>TAM12</x:v>
      </x:c>
      <x:c r="B262" s="2" t="str">
        <x:v>TAM12</x:v>
      </x:c>
      <x:c r="C262" s="7" t="n">
        <x:v>9.071038713804171</x:v>
      </x:c>
      <x:c r="D262" s="8" t="n">
        <x:f>ROUND(C262,2)</x:f>
        <x:v>9.07</x:v>
      </x:c>
      <x:c r="E262" s="2" t="str">
        <x:v>Rythern Master Price Sheet.xlsx | MASTER PRICE SHEET!I265</x:v>
      </x:c>
      <x:c r="F262" s="2"/>
      <x:c r="G262" s="2"/>
      <x:c r="H262" s="2"/>
    </x:row>
    <x:row r="263" ht="21" customHeight="1">
      <x:c r="A263" s="2" t="str">
        <x:v>TAM15</x:v>
      </x:c>
      <x:c r="B263" s="2" t="str">
        <x:v>TAM15</x:v>
      </x:c>
      <x:c r="C263" s="7" t="n">
        <x:v>9.792119734032672</x:v>
      </x:c>
      <x:c r="D263" s="8" t="n">
        <x:f>ROUND(C263,2)</x:f>
        <x:v>9.79</x:v>
      </x:c>
      <x:c r="E263" s="2" t="str">
        <x:v>Rythern Master Price Sheet.xlsx | MASTER PRICE SHEET!I266</x:v>
      </x:c>
      <x:c r="F263" s="2"/>
      <x:c r="G263" s="2"/>
      <x:c r="H263" s="2"/>
    </x:row>
    <x:row r="264" ht="21" customHeight="1">
      <x:c r="A264" s="2" t="str">
        <x:v>TAM18</x:v>
      </x:c>
      <x:c r="B264" s="2" t="str">
        <x:v>TAM18</x:v>
      </x:c>
      <x:c r="C264" s="7" t="n">
        <x:v>10.510067436729312</x:v>
      </x:c>
      <x:c r="D264" s="8" t="n">
        <x:f>ROUND(C264,2)</x:f>
        <x:v>10.51</x:v>
      </x:c>
      <x:c r="E264" s="2" t="str">
        <x:v>Rythern Master Price Sheet.xlsx | MASTER PRICE SHEET!I267</x:v>
      </x:c>
      <x:c r="F264" s="2"/>
      <x:c r="G264" s="2"/>
      <x:c r="H264" s="2"/>
    </x:row>
    <x:row r="265" ht="21" customHeight="1">
      <x:c r="A265" s="2" t="str">
        <x:v>TAM21</x:v>
      </x:c>
      <x:c r="B265" s="2" t="str">
        <x:v>TAM21</x:v>
      </x:c>
      <x:c r="C265" s="7" t="n">
        <x:v>11.228405419855932</x:v>
      </x:c>
      <x:c r="D265" s="8" t="n">
        <x:f>ROUND(C265,2)</x:f>
        <x:v>11.23</x:v>
      </x:c>
      <x:c r="E265" s="2" t="str">
        <x:v>Rythern Master Price Sheet.xlsx | MASTER PRICE SHEET!I268</x:v>
      </x:c>
      <x:c r="F265" s="2"/>
      <x:c r="G265" s="2"/>
      <x:c r="H265" s="2"/>
    </x:row>
    <x:row r="266" ht="21" customHeight="1">
      <x:c r="A266" s="2" t="str">
        <x:v>TAM24</x:v>
      </x:c>
      <x:c r="B266" s="2" t="str">
        <x:v>TAM24</x:v>
      </x:c>
      <x:c r="C266" s="7" t="n">
        <x:v>11.945714363698476</x:v>
      </x:c>
      <x:c r="D266" s="8" t="n">
        <x:f>ROUND(C266,2)</x:f>
        <x:v>11.95</x:v>
      </x:c>
      <x:c r="E266" s="2" t="str">
        <x:v>Rythern Master Price Sheet.xlsx | MASTER PRICE SHEET!I269</x:v>
      </x:c>
      <x:c r="F266" s="2"/>
      <x:c r="G266" s="2"/>
      <x:c r="H266" s="2"/>
    </x:row>
    <x:row r="267" ht="21" customHeight="1">
      <x:c r="A267" s="2" t="str">
        <x:v>TAM30</x:v>
      </x:c>
      <x:c r="B267" s="2" t="str">
        <x:v>TAM30</x:v>
      </x:c>
      <x:c r="C267" s="7" t="n">
        <x:v>13.37441220255794</x:v>
      </x:c>
      <x:c r="D267" s="8" t="n">
        <x:f>ROUND(C267,2)</x:f>
        <x:v>13.37</x:v>
      </x:c>
      <x:c r="E267" s="2" t="str">
        <x:v>Rythern Master Price Sheet.xlsx | MASTER PRICE SHEET!I270</x:v>
      </x:c>
      <x:c r="F267" s="2"/>
      <x:c r="G267" s="2"/>
      <x:c r="H267" s="2"/>
    </x:row>
    <x:row r="268" ht="21" customHeight="1">
      <x:c r="A268" s="2" t="str">
        <x:v>TAM36</x:v>
      </x:c>
      <x:c r="B268" s="2" t="str">
        <x:v>TAM36</x:v>
      </x:c>
      <x:c r="C268" s="7" t="n">
        <x:v>14.798659251893753</x:v>
      </x:c>
      <x:c r="D268" s="8" t="n">
        <x:f>ROUND(C268,2)</x:f>
        <x:v>14.8</x:v>
      </x:c>
      <x:c r="E268" s="2" t="str">
        <x:v>Rythern Master Price Sheet.xlsx | MASTER PRICE SHEET!I271</x:v>
      </x:c>
      <x:c r="F268" s="2"/>
      <x:c r="G268" s="2"/>
      <x:c r="H268" s="2"/>
    </x:row>
    <x:row r="269" ht="21" customHeight="1">
      <x:c r="A269" s="2" t="str">
        <x:v>TAM42</x:v>
      </x:c>
      <x:c r="B269" s="2" t="str">
        <x:v>TAM42</x:v>
      </x:c>
      <x:c r="C269" s="7" t="n">
        <x:v>16.42650531339857</x:v>
      </x:c>
      <x:c r="D269" s="8" t="n">
        <x:f>ROUND(C269,2)</x:f>
        <x:v>16.43</x:v>
      </x:c>
      <x:c r="E269" s="2" t="str">
        <x:v>Rythern Master Price Sheet.xlsx | MASTER PRICE SHEET!I272</x:v>
      </x:c>
      <x:c r="F269" s="2"/>
      <x:c r="G269" s="2"/>
      <x:c r="H269" s="2"/>
    </x:row>
    <x:row r="270" ht="21" customHeight="1">
      <x:c r="A270" s="2" t="str">
        <x:v>TAM48</x:v>
      </x:c>
      <x:c r="B270" s="2" t="str">
        <x:v>TAM48</x:v>
      </x:c>
      <x:c r="C270" s="7" t="n">
        <x:v>24.938961222282092</x:v>
      </x:c>
      <x:c r="D270" s="8" t="n">
        <x:f>ROUND(C270,2)</x:f>
        <x:v>24.94</x:v>
      </x:c>
      <x:c r="E270" s="2" t="str">
        <x:v>Rythern Master Price Sheet.xlsx | MASTER PRICE SHEET!I273</x:v>
      </x:c>
      <x:c r="F270" s="2"/>
      <x:c r="G270" s="2"/>
      <x:c r="H270" s="2"/>
    </x:row>
    <x:row r="271" ht="21" customHeight="1">
      <x:c r="A271" s="2" t="str">
        <x:v>TAM60</x:v>
      </x:c>
      <x:c r="B271" s="2" t="str">
        <x:v>TAM60</x:v>
      </x:c>
      <x:c r="C271" s="7" t="n">
        <x:v>28.80567485009821</x:v>
      </x:c>
      <x:c r="D271" s="8" t="n">
        <x:f>ROUND(C271,2)</x:f>
        <x:v>28.81</x:v>
      </x:c>
      <x:c r="E271" s="2" t="str">
        <x:v>Rythern Master Price Sheet.xlsx | MASTER PRICE SHEET!I274</x:v>
      </x:c>
      <x:c r="F271" s="2"/>
      <x:c r="G271" s="2"/>
      <x:c r="H271" s="2"/>
    </x:row>
    <x:row r="272" ht="21" customHeight="1">
      <x:c r="A272" s="2" t="str">
        <x:v>TAM96</x:v>
      </x:c>
      <x:c r="B272" s="2" t="str">
        <x:v>TAM96</x:v>
      </x:c>
      <x:c r="C272" s="7" t="n">
        <x:v>40.16693419531136</x:v>
      </x:c>
      <x:c r="D272" s="8" t="n">
        <x:f>ROUND(C272,2)</x:f>
        <x:v>40.17</x:v>
      </x:c>
      <x:c r="E272" s="2" t="str">
        <x:v>Rythern Master Price Sheet.xlsx | MASTER PRICE SHEET!I275</x:v>
      </x:c>
      <x:c r="F272" s="2"/>
      <x:c r="G272" s="2"/>
      <x:c r="H272" s="2"/>
    </x:row>
    <x:row r="273" ht="21" customHeight="1">
      <x:c r="A273" s="2" t="str">
        <x:v>TAS12</x:v>
      </x:c>
      <x:c r="B273" s="2" t="str">
        <x:v>TAS12</x:v>
      </x:c>
      <x:c r="C273" s="7" t="n">
        <x:v>8.233349031128101</x:v>
      </x:c>
      <x:c r="D273" s="8" t="n">
        <x:f>ROUND(C273,2)</x:f>
        <x:v>8.23</x:v>
      </x:c>
      <x:c r="E273" s="2" t="str">
        <x:v>Rythern Master Price Sheet.xlsx | MASTER PRICE SHEET!I276</x:v>
      </x:c>
      <x:c r="F273" s="2"/>
      <x:c r="G273" s="2"/>
      <x:c r="H273" s="2"/>
    </x:row>
    <x:row r="274" ht="21" customHeight="1">
      <x:c r="A274" s="2" t="str">
        <x:v>TAS15</x:v>
      </x:c>
      <x:c r="B274" s="2" t="str">
        <x:v>TAS15</x:v>
      </x:c>
      <x:c r="C274" s="7" t="n">
        <x:v>8.759019857158913</x:v>
      </x:c>
      <x:c r="D274" s="8" t="n">
        <x:f>ROUND(C274,2)</x:f>
        <x:v>8.76</x:v>
      </x:c>
      <x:c r="E274" s="2" t="str">
        <x:v>Rythern Master Price Sheet.xlsx | MASTER PRICE SHEET!I277</x:v>
      </x:c>
      <x:c r="F274" s="2"/>
      <x:c r="G274" s="2"/>
      <x:c r="H274" s="2"/>
    </x:row>
    <x:row r="275" ht="21" customHeight="1">
      <x:c r="A275" s="2" t="str">
        <x:v>TAS18</x:v>
      </x:c>
      <x:c r="B275" s="2" t="str">
        <x:v>TAS18</x:v>
      </x:c>
      <x:c r="C275" s="7" t="n">
        <x:v>9.284363009191042</x:v>
      </x:c>
      <x:c r="D275" s="8" t="n">
        <x:f>ROUND(C275,2)</x:f>
        <x:v>9.28</x:v>
      </x:c>
      <x:c r="E275" s="2" t="str">
        <x:v>Rythern Master Price Sheet.xlsx | MASTER PRICE SHEET!I278</x:v>
      </x:c>
      <x:c r="F275" s="2"/>
      <x:c r="G275" s="2"/>
      <x:c r="H275" s="2"/>
    </x:row>
    <x:row r="276" ht="21" customHeight="1">
      <x:c r="A276" s="2" t="str">
        <x:v>TAS21</x:v>
      </x:c>
      <x:c r="B276" s="2" t="str">
        <x:v>TAS21</x:v>
      </x:c>
      <x:c r="C276" s="7" t="n">
        <x:v>9.80508211470887</x:v>
      </x:c>
      <x:c r="D276" s="8" t="n">
        <x:f>ROUND(C276,2)</x:f>
        <x:v>9.81</x:v>
      </x:c>
      <x:c r="E276" s="2" t="str">
        <x:v>Rythern Master Price Sheet.xlsx | MASTER PRICE SHEET!I279</x:v>
      </x:c>
      <x:c r="F276" s="2"/>
      <x:c r="G276" s="2"/>
      <x:c r="H276" s="2"/>
    </x:row>
    <x:row r="277" ht="21" customHeight="1">
      <x:c r="A277" s="2" t="str">
        <x:v>TAS24</x:v>
      </x:c>
      <x:c r="B277" s="2" t="str">
        <x:v>TAS24</x:v>
      </x:c>
      <x:c r="C277" s="7" t="n">
        <x:v>10.324766701224997</x:v>
      </x:c>
      <x:c r="D277" s="8" t="n">
        <x:f>ROUND(C277,2)</x:f>
        <x:v>10.32</x:v>
      </x:c>
      <x:c r="E277" s="2" t="str">
        <x:v>Rythern Master Price Sheet.xlsx | MASTER PRICE SHEET!I280</x:v>
      </x:c>
      <x:c r="F277" s="2"/>
      <x:c r="G277" s="2"/>
      <x:c r="H277" s="2"/>
    </x:row>
    <x:row r="278" ht="21" customHeight="1">
      <x:c r="A278" s="2" t="str">
        <x:v>TAS30</x:v>
      </x:c>
      <x:c r="B278" s="2" t="str">
        <x:v>TAS30</x:v>
      </x:c>
      <x:c r="C278" s="7" t="n">
        <x:v>11.364667486822688</x:v>
      </x:c>
      <x:c r="D278" s="8" t="n">
        <x:f>ROUND(C278,2)</x:f>
        <x:v>11.36</x:v>
      </x:c>
      <x:c r="E278" s="2" t="str">
        <x:v>Rythern Master Price Sheet.xlsx | MASTER PRICE SHEET!I281</x:v>
      </x:c>
      <x:c r="F278" s="2"/>
      <x:c r="G278" s="2"/>
      <x:c r="H278" s="2"/>
    </x:row>
    <x:row r="279" ht="21" customHeight="1">
      <x:c r="A279" s="2" t="str">
        <x:v>TAS36</x:v>
      </x:c>
      <x:c r="B279" s="2" t="str">
        <x:v>TAS36</x:v>
      </x:c>
      <x:c r="C279" s="7" t="n">
        <x:v>12.398900498808183</x:v>
      </x:c>
      <x:c r="D279" s="8" t="n">
        <x:f>ROUND(C279,2)</x:f>
        <x:v>12.4</x:v>
      </x:c>
      <x:c r="E279" s="2" t="str">
        <x:v>Rythern Master Price Sheet.xlsx | MASTER PRICE SHEET!I282</x:v>
      </x:c>
      <x:c r="F279" s="2"/>
      <x:c r="G279" s="2"/>
      <x:c r="H279" s="2"/>
    </x:row>
    <x:row r="280" ht="21" customHeight="1">
      <x:c r="A280" s="2" t="str">
        <x:v>TAS42</x:v>
      </x:c>
      <x:c r="B280" s="2" t="str">
        <x:v>TAS42</x:v>
      </x:c>
      <x:c r="C280" s="7" t="n">
        <x:v>13.431267579186777</x:v>
      </x:c>
      <x:c r="D280" s="8" t="n">
        <x:f>ROUND(C280,2)</x:f>
        <x:v>13.43</x:v>
      </x:c>
      <x:c r="E280" s="2" t="str">
        <x:v>Rythern Master Price Sheet.xlsx | MASTER PRICE SHEET!I283</x:v>
      </x:c>
      <x:c r="F280" s="2"/>
      <x:c r="G280" s="2"/>
      <x:c r="H280" s="2"/>
    </x:row>
    <x:row r="281" ht="21" customHeight="1">
      <x:c r="A281" s="2" t="str">
        <x:v>TAS48</x:v>
      </x:c>
      <x:c r="B281" s="2" t="str">
        <x:v>TAS48</x:v>
      </x:c>
      <x:c r="C281" s="7" t="n">
        <x:v>21.5309783263347</x:v>
      </x:c>
      <x:c r="D281" s="8" t="n">
        <x:f>ROUND(C281,2)</x:f>
        <x:v>21.53</x:v>
      </x:c>
      <x:c r="E281" s="2" t="str">
        <x:v>Rythern Master Price Sheet.xlsx | MASTER PRICE SHEET!I284</x:v>
      </x:c>
      <x:c r="F281" s="2"/>
      <x:c r="G281" s="2"/>
      <x:c r="H281" s="2"/>
    </x:row>
    <x:row r="282" ht="21" customHeight="1">
      <x:c r="A282" s="2" t="str">
        <x:v>TAS60</x:v>
      </x:c>
      <x:c r="B282" s="2" t="str">
        <x:v>TAS60</x:v>
      </x:c>
      <x:c r="C282" s="7" t="n">
        <x:v>23.809763936416164</x:v>
      </x:c>
      <x:c r="D282" s="8" t="n">
        <x:f>ROUND(C282,2)</x:f>
        <x:v>23.81</x:v>
      </x:c>
      <x:c r="E282" s="2" t="str">
        <x:v>Rythern Master Price Sheet.xlsx | MASTER PRICE SHEET!I285</x:v>
      </x:c>
      <x:c r="F282" s="2"/>
      <x:c r="G282" s="2"/>
      <x:c r="H282" s="2"/>
    </x:row>
    <x:row r="283" ht="21" customHeight="1">
      <x:c r="A283" s="2" t="str">
        <x:v>TAS96</x:v>
      </x:c>
      <x:c r="B283" s="2" t="str">
        <x:v>TAS96</x:v>
      </x:c>
      <x:c r="C283" s="7" t="n">
        <x:v>31.34663266181325</x:v>
      </x:c>
      <x:c r="D283" s="8" t="n">
        <x:f>ROUND(C283,2)</x:f>
        <x:v>31.35</x:v>
      </x:c>
      <x:c r="E283" s="2" t="str">
        <x:v>Rythern Master Price Sheet.xlsx | MASTER PRICE SHEET!I286</x:v>
      </x:c>
      <x:c r="F283" s="2"/>
      <x:c r="G283" s="2"/>
      <x:c r="H283" s="2"/>
    </x:row>
    <x:row r="284" ht="21" customHeight="1">
      <x:c r="A284" s="2" t="str">
        <x:v>VACR48</x:v>
      </x:c>
      <x:c r="B284" s="2" t="str">
        <x:v>VACR48</x:v>
      </x:c>
      <x:c r="C284" s="7" t="n">
        <x:v>30.11320674561597</x:v>
      </x:c>
      <x:c r="D284" s="8" t="n">
        <x:f>ROUND(C284,2)</x:f>
        <x:v>30.11</x:v>
      </x:c>
      <x:c r="E284" s="2" t="str">
        <x:v>Rythern Master Price Sheet.xlsx | MASTER PRICE SHEET!I287</x:v>
      </x:c>
      <x:c r="F284" s="2"/>
      <x:c r="G284" s="2"/>
      <x:c r="H284" s="2"/>
    </x:row>
    <x:row r="285" ht="21" customHeight="1">
      <x:c r="A285" s="2" t="str">
        <x:v>VASH48</x:v>
      </x:c>
      <x:c r="B285" s="2" t="str">
        <x:v>VASH48</x:v>
      </x:c>
      <x:c r="C285" s="7" t="n">
        <x:v>26.846504124312332</x:v>
      </x:c>
      <x:c r="D285" s="8" t="n">
        <x:f>ROUND(C285,2)</x:f>
        <x:v>26.85</x:v>
      </x:c>
      <x:c r="E285" s="2" t="str">
        <x:v>Rythern Master Price Sheet.xlsx | MASTER PRICE SHEET!I288</x:v>
      </x:c>
      <x:c r="F285" s="2"/>
      <x:c r="G285" s="2"/>
      <x:c r="H285" s="2"/>
    </x:row>
    <x:row r="286" ht="21" customHeight="1">
      <x:c r="A286" s="2" t="str">
        <x:v>W3D18</x:v>
      </x:c>
      <x:c r="B286" s="2" t="str">
        <x:v>W3D18</x:v>
      </x:c>
      <x:c r="C286" s="7" t="n">
        <x:v>81.08527864976261</x:v>
      </x:c>
      <x:c r="D286" s="8" t="n">
        <x:f>ROUND(C286,2)</x:f>
        <x:v>81.09</x:v>
      </x:c>
      <x:c r="E286" s="2" t="str">
        <x:v>Rythern Master Price Sheet.xlsx | MASTER PRICE SHEET!I289</x:v>
      </x:c>
      <x:c r="F286" s="2"/>
      <x:c r="G286" s="2"/>
      <x:c r="H286" s="2"/>
    </x:row>
    <x:row r="287" ht="21" customHeight="1">
      <x:c r="A287" s="2" t="str">
        <x:v>W3D24</x:v>
      </x:c>
      <x:c r="B287" s="2" t="str">
        <x:v>W3D24</x:v>
      </x:c>
      <x:c r="C287" s="7" t="n">
        <x:v>94.17891680855095</x:v>
      </x:c>
      <x:c r="D287" s="8" t="n">
        <x:f>ROUND(C287,2)</x:f>
        <x:v>94.18</x:v>
      </x:c>
      <x:c r="E287" s="2" t="str">
        <x:v>Rythern Master Price Sheet.xlsx | MASTER PRICE SHEET!I290</x:v>
      </x:c>
      <x:c r="F287" s="2"/>
      <x:c r="G287" s="2"/>
      <x:c r="H287" s="2"/>
    </x:row>
    <x:row r="288" ht="21" customHeight="1">
      <x:c r="A288" s="2" t="str">
        <x:v>WER2430</x:v>
      </x:c>
      <x:c r="B288" s="2" t="str">
        <x:v>WER2430</x:v>
      </x:c>
      <x:c r="C288" s="7" t="n">
        <x:v>116.43956190652644</x:v>
      </x:c>
      <x:c r="D288" s="8" t="n">
        <x:f>ROUND(C288,2)</x:f>
        <x:v>116.44</x:v>
      </x:c>
      <x:c r="E288" s="2" t="str">
        <x:v>Rythern Master Price Sheet.xlsx | MASTER PRICE SHEET!I291</x:v>
      </x:c>
      <x:c r="F288" s="2"/>
      <x:c r="G288" s="2"/>
      <x:c r="H288" s="2"/>
    </x:row>
    <x:row r="289" ht="21" customHeight="1">
      <x:c r="A289" s="2" t="str">
        <x:v>WER2436</x:v>
      </x:c>
      <x:c r="B289" s="2" t="str">
        <x:v>WER2436</x:v>
      </x:c>
      <x:c r="C289" s="7" t="n">
        <x:v>126.4181258066095</x:v>
      </x:c>
      <x:c r="D289" s="8" t="n">
        <x:f>ROUND(C289,2)</x:f>
        <x:v>126.42</x:v>
      </x:c>
      <x:c r="E289" s="2" t="str">
        <x:v>Rythern Master Price Sheet.xlsx | MASTER PRICE SHEET!I292</x:v>
      </x:c>
      <x:c r="F289" s="2"/>
      <x:c r="G289" s="2"/>
      <x:c r="H289" s="2"/>
    </x:row>
    <x:row r="290" ht="21" customHeight="1">
      <x:c r="A290" s="2" t="str">
        <x:v>WER2442</x:v>
      </x:c>
      <x:c r="B290" s="2" t="str">
        <x:v>WER2442</x:v>
      </x:c>
      <x:c r="C290" s="7" t="n">
        <x:v>148.7801841109958</x:v>
      </x:c>
      <x:c r="D290" s="8" t="n">
        <x:f>ROUND(C290,2)</x:f>
        <x:v>148.78</x:v>
      </x:c>
      <x:c r="E290" s="2" t="str">
        <x:v>Rythern Master Price Sheet.xlsx | MASTER PRICE SHEET!I293</x:v>
      </x:c>
      <x:c r="F290" s="2"/>
      <x:c r="G290" s="2"/>
      <x:c r="H290" s="2"/>
    </x:row>
    <x:row r="291" ht="21" customHeight="1">
      <x:c r="A291" s="2" t="str">
        <x:v>WWC630</x:v>
      </x:c>
      <x:c r="B291" s="2" t="str">
        <x:v>WWC630</x:v>
      </x:c>
      <x:c r="C291" s="7" t="n">
        <x:v>44.862348422076444</x:v>
      </x:c>
      <x:c r="D291" s="8" t="n">
        <x:f>ROUND(C291,2)</x:f>
        <x:v>44.86</x:v>
      </x:c>
      <x:c r="E291" s="2" t="str">
        <x:v>Rythern Master Price Sheet.xlsx | MASTER PRICE SHEET!I294; Rythern Master Price Sheet.xlsx | MASTER PRICE SHEET!I473</x:v>
      </x:c>
      <x:c r="F291" s="2"/>
      <x:c r="G291" s="2"/>
      <x:c r="H291" s="2"/>
    </x:row>
    <x:row r="292" ht="21" customHeight="1">
      <x:c r="A292" s="2" t="str">
        <x:v>MINIB12</x:v>
      </x:c>
      <x:c r="B292" s="2" t="str">
        <x:v>MINIB12</x:v>
      </x:c>
      <x:c r="C292" s="7" t="n">
        <x:v>85.27791500461886</x:v>
      </x:c>
      <x:c r="D292" s="8" t="n">
        <x:f>ROUND(C292,2)</x:f>
        <x:v>85.28</x:v>
      </x:c>
      <x:c r="E292" s="2" t="str">
        <x:v>Rythern Master Price Sheet.xlsx | MASTER PRICE SHEET!I295</x:v>
      </x:c>
      <x:c r="F292" s="2"/>
      <x:c r="G292" s="2"/>
      <x:c r="H292" s="2"/>
    </x:row>
    <x:row r="293" ht="21" customHeight="1">
      <x:c r="A293" s="2" t="str">
        <x:v>UV-B12TDKIT</x:v>
      </x:c>
      <x:c r="B293" s="2" t="str">
        <x:v>UV-B12TDKIT</x:v>
      </x:c>
      <x:c r="C293" s="7" t="n">
        <x:v>29.311961735619814</x:v>
      </x:c>
      <x:c r="D293" s="8" t="n">
        <x:f>ROUND(C293,2)</x:f>
        <x:v>29.31</x:v>
      </x:c>
      <x:c r="E293" s="2" t="str">
        <x:v>Rythern Master Price Sheet.xlsx | MASTER PRICE SHEET!I296</x:v>
      </x:c>
      <x:c r="F293" s="2"/>
      <x:c r="G293" s="2"/>
      <x:c r="H293" s="2"/>
    </x:row>
    <x:row r="294" ht="21" customHeight="1">
      <x:c r="A294" s="2" t="str">
        <x:v>UV-B15TDKIT</x:v>
      </x:c>
      <x:c r="B294" s="2" t="str">
        <x:v>UV-B15TDKIT</x:v>
      </x:c>
      <x:c r="C294" s="7" t="n">
        <x:v>30.968119542355037</x:v>
      </x:c>
      <x:c r="D294" s="8" t="n">
        <x:f>ROUND(C294,2)</x:f>
        <x:v>30.97</x:v>
      </x:c>
      <x:c r="E294" s="2" t="str">
        <x:v>Rythern Master Price Sheet.xlsx | MASTER PRICE SHEET!I297</x:v>
      </x:c>
      <x:c r="F294" s="2"/>
      <x:c r="G294" s="2"/>
      <x:c r="H294" s="2"/>
    </x:row>
    <x:row r="295" ht="21" customHeight="1">
      <x:c r="A295" s="2" t="str">
        <x:v>UV-B18TDKIT</x:v>
      </x:c>
      <x:c r="B295" s="2" t="str">
        <x:v>UV-B18TDKIT</x:v>
      </x:c>
      <x:c r="C295" s="7" t="n">
        <x:v>47.655664131821545</x:v>
      </x:c>
      <x:c r="D295" s="8" t="n">
        <x:f>ROUND(C295,2)</x:f>
        <x:v>47.66</x:v>
      </x:c>
      <x:c r="E295" s="2" t="str">
        <x:v>Rythern Master Price Sheet.xlsx | MASTER PRICE SHEET!I298</x:v>
      </x:c>
      <x:c r="F295" s="2"/>
      <x:c r="G295" s="2"/>
      <x:c r="H295" s="2"/>
    </x:row>
    <x:row r="296" ht="21" customHeight="1">
      <x:c r="A296" s="2" t="str">
        <x:v>CF4</x:v>
      </x:c>
      <x:c r="B296" s="2" t="str">
        <x:v>CF4</x:v>
      </x:c>
      <x:c r="C296" s="7" t="n">
        <x:v>10.678321599991115</x:v>
      </x:c>
      <x:c r="D296" s="8" t="n">
        <x:f>ROUND(C296,2)</x:f>
        <x:v>10.68</x:v>
      </x:c>
      <x:c r="E296" s="2" t="str">
        <x:v>Rythern Master Price Sheet.xlsx | MASTER PRICE SHEET!I299</x:v>
      </x:c>
      <x:c r="F296" s="2"/>
      <x:c r="G296" s="2"/>
      <x:c r="H296" s="2"/>
    </x:row>
    <x:row r="297" ht="21" customHeight="1">
      <x:c r="A297" s="2" t="str">
        <x:v>TF4</x:v>
      </x:c>
      <x:c r="B297" s="2" t="str">
        <x:v>TF4</x:v>
      </x:c>
      <x:c r="C297" s="7" t="n">
        <x:v>12.575005276623937</x:v>
      </x:c>
      <x:c r="D297" s="8" t="n">
        <x:f>ROUND(C297,2)</x:f>
        <x:v>12.58</x:v>
      </x:c>
      <x:c r="E297" s="2" t="str">
        <x:v>Rythern Master Price Sheet.xlsx | MASTER PRICE SHEET!I300</x:v>
      </x:c>
      <x:c r="F297" s="2"/>
      <x:c r="G297" s="2"/>
      <x:c r="H297" s="2"/>
    </x:row>
    <x:row r="298" ht="21" customHeight="1">
      <x:c r="A298" s="2" t="str">
        <x:v>UV-B12TDFHKIT</x:v>
      </x:c>
      <x:c r="B298" s="2" t="str">
        <x:v>UV-B12TDFHKIT</x:v>
      </x:c>
      <x:c r="C298" s="7" t="n">
        <x:v>35.47090682959038</x:v>
      </x:c>
      <x:c r="D298" s="8" t="n">
        <x:f>ROUND(C298,2)</x:f>
        <x:v>35.47</x:v>
      </x:c>
      <x:c r="E298" s="2" t="str">
        <x:v>Rythern Master Price Sheet.xlsx | MASTER PRICE SHEET!I301</x:v>
      </x:c>
      <x:c r="F298" s="2"/>
      <x:c r="G298" s="2"/>
      <x:c r="H298" s="2"/>
    </x:row>
    <x:row r="299" ht="21" customHeight="1">
      <x:c r="A299" s="2" t="str">
        <x:v>UV-B15TDFHKIT</x:v>
      </x:c>
      <x:c r="B299" s="2" t="str">
        <x:v>UV-B15TDFHKIT</x:v>
      </x:c>
      <x:c r="C299" s="7" t="n">
        <x:v>36.86598949132635</x:v>
      </x:c>
      <x:c r="D299" s="8" t="n">
        <x:f>ROUND(C299,2)</x:f>
        <x:v>36.87</x:v>
      </x:c>
      <x:c r="E299" s="2" t="str">
        <x:v>Rythern Master Price Sheet.xlsx | MASTER PRICE SHEET!I302</x:v>
      </x:c>
      <x:c r="F299" s="2"/>
      <x:c r="G299" s="2"/>
      <x:c r="H299" s="2"/>
    </x:row>
    <x:row r="300" ht="21" customHeight="1">
      <x:c r="A300" s="2" t="str">
        <x:v>UV-B18TDFHKIT</x:v>
      </x:c>
      <x:c r="B300" s="2" t="str">
        <x:v>UV-B18TDFHKIT</x:v>
      </x:c>
      <x:c r="C300" s="7" t="n">
        <x:v>55.716503331576185</x:v>
      </x:c>
      <x:c r="D300" s="8" t="n">
        <x:f>ROUND(C300,2)</x:f>
        <x:v>55.72</x:v>
      </x:c>
      <x:c r="E300" s="2" t="str">
        <x:v>Rythern Master Price Sheet.xlsx | MASTER PRICE SHEET!I303</x:v>
      </x:c>
      <x:c r="F300" s="2"/>
      <x:c r="G300" s="2"/>
      <x:c r="H300" s="2"/>
    </x:row>
    <x:row r="301" ht="21" customHeight="1">
      <x:c r="A301" s="2" t="str">
        <x:v>W4230</x:v>
      </x:c>
      <x:c r="B301" s="2" t="str">
        <x:v>W4230</x:v>
      </x:c>
      <x:c r="C301" s="7" t="n">
        <x:v>137.17076726883002</x:v>
      </x:c>
      <x:c r="D301" s="8" t="n">
        <x:f>ROUND(C301,2)</x:f>
        <x:v>137.17</x:v>
      </x:c>
      <x:c r="E301" s="2" t="str">
        <x:v>Rythern Master Price Sheet.xlsx | MASTER PRICE SHEET!I304</x:v>
      </x:c>
      <x:c r="F301" s="2"/>
      <x:c r="G301" s="2"/>
      <x:c r="H301" s="2"/>
    </x:row>
    <x:row r="302" ht="21" customHeight="1">
      <x:c r="A302" s="2" t="str">
        <x:v>ICM</x:v>
      </x:c>
      <x:c r="B302" s="2" t="str">
        <x:v>ICM</x:v>
      </x:c>
      <x:c r="C302" s="7" t="n">
        <x:v>46.97420970397119</x:v>
      </x:c>
      <x:c r="D302" s="8" t="n">
        <x:f>ROUND(C302,2)</x:f>
        <x:v>46.97</x:v>
      </x:c>
      <x:c r="E302" s="2" t="str">
        <x:v>Rythern Master Price Sheet.xlsx | MASTER PRICE SHEET!I305</x:v>
      </x:c>
      <x:c r="F302" s="2"/>
      <x:c r="G302" s="2"/>
      <x:c r="H302" s="2"/>
    </x:row>
    <x:row r="303" ht="21" customHeight="1">
      <x:c r="A303" s="2" t="str">
        <x:v>SB39</x:v>
      </x:c>
      <x:c r="B303" s="2" t="str">
        <x:v>SB39</x:v>
      </x:c>
      <x:c r="C303" s="7" t="n">
        <x:v>136.17066561387952</x:v>
      </x:c>
      <x:c r="D303" s="8" t="n">
        <x:f>ROUND(C303,2)</x:f>
        <x:v>136.17</x:v>
      </x:c>
      <x:c r="E303" s="2" t="str">
        <x:v>Rythern Master Price Sheet.xlsx | MASTER PRICE SHEET!I306</x:v>
      </x:c>
      <x:c r="F303" s="2"/>
      <x:c r="G303" s="2"/>
      <x:c r="H303" s="2"/>
    </x:row>
    <x:row r="304" ht="21" customHeight="1">
      <x:c r="A304" s="2" t="str">
        <x:v>B39</x:v>
      </x:c>
      <x:c r="B304" s="2" t="str">
        <x:v>B39</x:v>
      </x:c>
      <x:c r="C304" s="7" t="n">
        <x:v>184.22502452874448</x:v>
      </x:c>
      <x:c r="D304" s="8" t="n">
        <x:f>ROUND(C304,2)</x:f>
        <x:v>184.23</x:v>
      </x:c>
      <x:c r="E304" s="2" t="str">
        <x:v>Rythern Master Price Sheet.xlsx | MASTER PRICE SHEET!I307</x:v>
      </x:c>
      <x:c r="F304" s="2"/>
      <x:c r="G304" s="2"/>
      <x:c r="H304" s="2"/>
    </x:row>
    <x:row r="305" ht="21" customHeight="1">
      <x:c r="A305" s="2" t="str">
        <x:v>BT12</x:v>
      </x:c>
      <x:c r="B305" s="2" t="str">
        <x:v>BT12</x:v>
      </x:c>
      <x:c r="C305" s="7" t="n">
        <x:v>71.49542904731243</x:v>
      </x:c>
      <x:c r="D305" s="8" t="n">
        <x:f>ROUND(C305,2)</x:f>
        <x:v>71.5</x:v>
      </x:c>
      <x:c r="E305" s="2" t="str">
        <x:v>Rythern Master Price Sheet.xlsx | MASTER PRICE SHEET!I308</x:v>
      </x:c>
      <x:c r="F305" s="2"/>
      <x:c r="G305" s="2"/>
      <x:c r="H305" s="2"/>
    </x:row>
    <x:row r="306" ht="21" customHeight="1">
      <x:c r="A306" s="2" t="str">
        <x:v>W0918</x:v>
      </x:c>
      <x:c r="B306" s="2" t="str">
        <x:v>W0918</x:v>
      </x:c>
      <x:c r="C306" s="7" t="n">
        <x:v>33.32441630406719</x:v>
      </x:c>
      <x:c r="D306" s="8" t="n">
        <x:f>ROUND(C306,2)</x:f>
        <x:v>33.32</x:v>
      </x:c>
      <x:c r="E306" s="2" t="str">
        <x:v>Rythern Master Price Sheet.xlsx | MASTER PRICE SHEET!I309</x:v>
      </x:c>
      <x:c r="F306" s="2"/>
      <x:c r="G306" s="2"/>
      <x:c r="H306" s="2"/>
    </x:row>
    <x:row r="307" ht="21" customHeight="1">
      <x:c r="A307" s="2" t="str">
        <x:v>W0918GD</x:v>
      </x:c>
      <x:c r="B307" s="2" t="str">
        <x:v>W0918GD</x:v>
      </x:c>
      <x:c r="C307" s="7" t="n">
        <x:v>32.34200044867603</x:v>
      </x:c>
      <x:c r="D307" s="8" t="n">
        <x:f>ROUND(C307,2)</x:f>
        <x:v>32.34</x:v>
      </x:c>
      <x:c r="E307" s="2" t="str">
        <x:v>Rythern Master Price Sheet.xlsx | MASTER PRICE SHEET!I310</x:v>
      </x:c>
      <x:c r="F307" s="2"/>
      <x:c r="G307" s="2"/>
      <x:c r="H307" s="2"/>
    </x:row>
    <x:row r="308" ht="21" customHeight="1">
      <x:c r="A308" s="2" t="str">
        <x:v>W1212</x:v>
      </x:c>
      <x:c r="B308" s="2" t="str">
        <x:v>W1212</x:v>
      </x:c>
      <x:c r="C308" s="7" t="n">
        <x:v>30.06259561101945</x:v>
      </x:c>
      <x:c r="D308" s="8" t="n">
        <x:f>ROUND(C308,2)</x:f>
        <x:v>30.06</x:v>
      </x:c>
      <x:c r="E308" s="2" t="str">
        <x:v>Rythern Master Price Sheet.xlsx | MASTER PRICE SHEET!I311</x:v>
      </x:c>
      <x:c r="F308" s="2"/>
      <x:c r="G308" s="2"/>
      <x:c r="H308" s="2"/>
    </x:row>
    <x:row r="309" ht="21" customHeight="1">
      <x:c r="A309" s="2" t="str">
        <x:v>W1218</x:v>
      </x:c>
      <x:c r="B309" s="2" t="str">
        <x:v>W1218</x:v>
      </x:c>
      <x:c r="C309" s="7" t="n">
        <x:v>36.97434541272189</x:v>
      </x:c>
      <x:c r="D309" s="8" t="n">
        <x:f>ROUND(C309,2)</x:f>
        <x:v>36.97</x:v>
      </x:c>
      <x:c r="E309" s="2" t="str">
        <x:v>Rythern Master Price Sheet.xlsx | MASTER PRICE SHEET!I312</x:v>
      </x:c>
      <x:c r="F309" s="2"/>
      <x:c r="G309" s="2"/>
      <x:c r="H309" s="2"/>
    </x:row>
    <x:row r="310" ht="21" customHeight="1">
      <x:c r="A310" s="2" t="str">
        <x:v>W1218GD</x:v>
      </x:c>
      <x:c r="B310" s="2" t="str">
        <x:v>W1218GD</x:v>
      </x:c>
      <x:c r="C310" s="7" t="n">
        <x:v>35.319939804077435</x:v>
      </x:c>
      <x:c r="D310" s="8" t="n">
        <x:f>ROUND(C310,2)</x:f>
        <x:v>35.32</x:v>
      </x:c>
      <x:c r="E310" s="2" t="str">
        <x:v>Rythern Master Price Sheet.xlsx | MASTER PRICE SHEET!I313</x:v>
      </x:c>
      <x:c r="F310" s="2"/>
      <x:c r="G310" s="2"/>
      <x:c r="H310" s="2"/>
    </x:row>
    <x:row r="311" ht="21" customHeight="1">
      <x:c r="A311" s="2" t="str">
        <x:v>W1512</x:v>
      </x:c>
      <x:c r="B311" s="2" t="str">
        <x:v>W1512</x:v>
      </x:c>
      <x:c r="C311" s="7" t="n">
        <x:v>34.53017032239835</x:v>
      </x:c>
      <x:c r="D311" s="8" t="n">
        <x:f>ROUND(C311,2)</x:f>
        <x:v>34.53</x:v>
      </x:c>
      <x:c r="E311" s="2" t="str">
        <x:v>Rythern Master Price Sheet.xlsx | MASTER PRICE SHEET!I314</x:v>
      </x:c>
      <x:c r="F311" s="2"/>
      <x:c r="G311" s="2"/>
      <x:c r="H311" s="2"/>
    </x:row>
    <x:row r="312" ht="21" customHeight="1">
      <x:c r="A312" s="2" t="str">
        <x:v>W1518</x:v>
      </x:c>
      <x:c r="B312" s="2" t="str">
        <x:v>W1518</x:v>
      </x:c>
      <x:c r="C312" s="7" t="n">
        <x:v>41.08794186655466</x:v>
      </x:c>
      <x:c r="D312" s="8" t="n">
        <x:f>ROUND(C312,2)</x:f>
        <x:v>41.09</x:v>
      </x:c>
      <x:c r="E312" s="2" t="str">
        <x:v>Rythern Master Price Sheet.xlsx | MASTER PRICE SHEET!I315</x:v>
      </x:c>
      <x:c r="F312" s="2"/>
      <x:c r="G312" s="2"/>
      <x:c r="H312" s="2"/>
    </x:row>
    <x:row r="313" ht="21" customHeight="1">
      <x:c r="A313" s="2" t="str">
        <x:v>W1518GD</x:v>
      </x:c>
      <x:c r="B313" s="2" t="str">
        <x:v>W1518GD</x:v>
      </x:c>
      <x:c r="C313" s="7" t="n">
        <x:v>38.77359906123299</x:v>
      </x:c>
      <x:c r="D313" s="8" t="n">
        <x:f>ROUND(C313,2)</x:f>
        <x:v>38.77</x:v>
      </x:c>
      <x:c r="E313" s="2" t="str">
        <x:v>Rythern Master Price Sheet.xlsx | MASTER PRICE SHEET!I316</x:v>
      </x:c>
      <x:c r="F313" s="2"/>
      <x:c r="G313" s="2"/>
      <x:c r="H313" s="2"/>
    </x:row>
    <x:row r="314" ht="21" customHeight="1">
      <x:c r="A314" s="2" t="str">
        <x:v>W1812</x:v>
      </x:c>
      <x:c r="B314" s="2" t="str">
        <x:v>W1812</x:v>
      </x:c>
      <x:c r="C314" s="7" t="n">
        <x:v>41.43582019651198</x:v>
      </x:c>
      <x:c r="D314" s="8" t="n">
        <x:f>ROUND(C314,2)</x:f>
        <x:v>41.44</x:v>
      </x:c>
      <x:c r="E314" s="2" t="str">
        <x:v>Rythern Master Price Sheet.xlsx | MASTER PRICE SHEET!I317</x:v>
      </x:c>
      <x:c r="F314" s="2"/>
      <x:c r="G314" s="2"/>
      <x:c r="H314" s="2"/>
    </x:row>
    <x:row r="315" ht="21" customHeight="1">
      <x:c r="A315" s="2" t="str">
        <x:v>W1818</x:v>
      </x:c>
      <x:c r="B315" s="2" t="str">
        <x:v>W1818</x:v>
      </x:c>
      <x:c r="C315" s="7" t="n">
        <x:v>45.17175578135669</x:v>
      </x:c>
      <x:c r="D315" s="8" t="n">
        <x:f>ROUND(C315,2)</x:f>
        <x:v>45.17</x:v>
      </x:c>
      <x:c r="E315" s="2" t="str">
        <x:v>Rythern Master Price Sheet.xlsx | MASTER PRICE SHEET!I318</x:v>
      </x:c>
      <x:c r="F315" s="2"/>
      <x:c r="G315" s="2"/>
      <x:c r="H315" s="2"/>
    </x:row>
    <x:row r="316" ht="21" customHeight="1">
      <x:c r="A316" s="2" t="str">
        <x:v>W1818GD</x:v>
      </x:c>
      <x:c r="B316" s="2" t="str">
        <x:v>W1818GD</x:v>
      </x:c>
      <x:c r="C316" s="7" t="n">
        <x:v>42.18553648611402</x:v>
      </x:c>
      <x:c r="D316" s="8" t="n">
        <x:f>ROUND(C316,2)</x:f>
        <x:v>42.19</x:v>
      </x:c>
      <x:c r="E316" s="2" t="str">
        <x:v>Rythern Master Price Sheet.xlsx | MASTER PRICE SHEET!I319</x:v>
      </x:c>
      <x:c r="F316" s="2"/>
      <x:c r="G316" s="2"/>
      <x:c r="H316" s="2"/>
    </x:row>
    <x:row r="317" ht="21" customHeight="1">
      <x:c r="A317" s="2" t="str">
        <x:v>W2112</x:v>
      </x:c>
      <x:c r="B317" s="2" t="str">
        <x:v>W2112</x:v>
      </x:c>
      <x:c r="C317" s="7" t="n">
        <x:v>47.78051275983112</x:v>
      </x:c>
      <x:c r="D317" s="8" t="n">
        <x:f>ROUND(C317,2)</x:f>
        <x:v>47.78</x:v>
      </x:c>
      <x:c r="E317" s="2" t="str">
        <x:v>Rythern Master Price Sheet.xlsx | MASTER PRICE SHEET!I320</x:v>
      </x:c>
      <x:c r="F317" s="2"/>
      <x:c r="G317" s="2"/>
      <x:c r="H317" s="2"/>
    </x:row>
    <x:row r="318" ht="21" customHeight="1">
      <x:c r="A318" s="2" t="str">
        <x:v>W2118</x:v>
      </x:c>
      <x:c r="B318" s="2" t="str">
        <x:v>W2118</x:v>
      </x:c>
      <x:c r="C318" s="7" t="n">
        <x:v>49.2287195573182</x:v>
      </x:c>
      <x:c r="D318" s="8" t="n">
        <x:f>ROUND(C318,2)</x:f>
        <x:v>49.23</x:v>
      </x:c>
      <x:c r="E318" s="2" t="str">
        <x:v>Rythern Master Price Sheet.xlsx | MASTER PRICE SHEET!I321</x:v>
      </x:c>
      <x:c r="F318" s="2"/>
      <x:c r="G318" s="2"/>
      <x:c r="H318" s="2"/>
    </x:row>
    <x:row r="319" ht="21" customHeight="1">
      <x:c r="A319" s="2" t="str">
        <x:v>W2118GD</x:v>
      </x:c>
      <x:c r="B319" s="2" t="str">
        <x:v>W2118GD</x:v>
      </x:c>
      <x:c r="C319" s="7" t="n">
        <x:v>45.57087969049864</x:v>
      </x:c>
      <x:c r="D319" s="8" t="n">
        <x:f>ROUND(C319,2)</x:f>
        <x:v>45.57</x:v>
      </x:c>
      <x:c r="E319" s="2" t="str">
        <x:v>Rythern Master Price Sheet.xlsx | MASTER PRICE SHEET!I322</x:v>
      </x:c>
      <x:c r="F319" s="2"/>
      <x:c r="G319" s="2"/>
      <x:c r="H319" s="2"/>
    </x:row>
    <x:row r="320" ht="21" customHeight="1">
      <x:c r="A320" s="2" t="str">
        <x:v>W2412</x:v>
      </x:c>
      <x:c r="B320" s="2" t="str">
        <x:v>W2412</x:v>
      </x:c>
      <x:c r="C320" s="7" t="n">
        <x:v>50.70806257653392</x:v>
      </x:c>
      <x:c r="D320" s="8" t="n">
        <x:f>ROUND(C320,2)</x:f>
        <x:v>50.71</x:v>
      </x:c>
      <x:c r="E320" s="2" t="str">
        <x:v>Rythern Master Price Sheet.xlsx | MASTER PRICE SHEET!I323</x:v>
      </x:c>
      <x:c r="F320" s="2"/>
      <x:c r="G320" s="2"/>
      <x:c r="H320" s="2"/>
    </x:row>
    <x:row r="321" ht="21" customHeight="1">
      <x:c r="A321" s="2" t="str">
        <x:v>W2418</x:v>
      </x:c>
      <x:c r="B321" s="2" t="str">
        <x:v>W2418</x:v>
      </x:c>
      <x:c r="C321" s="7" t="n">
        <x:v>60.57815725556638</x:v>
      </x:c>
      <x:c r="D321" s="8" t="n">
        <x:f>ROUND(C321,2)</x:f>
        <x:v>60.58</x:v>
      </x:c>
      <x:c r="E321" s="2" t="str">
        <x:v>Rythern Master Price Sheet.xlsx | MASTER PRICE SHEET!I324</x:v>
      </x:c>
      <x:c r="F321" s="2"/>
      <x:c r="G321" s="2"/>
      <x:c r="H321" s="2"/>
    </x:row>
    <x:row r="322" ht="21" customHeight="1">
      <x:c r="A322" s="2" t="str">
        <x:v>W2418GD</x:v>
      </x:c>
      <x:c r="B322" s="2" t="str">
        <x:v>W2418GD</x:v>
      </x:c>
      <x:c r="C322" s="7" t="n">
        <x:v>57.201837405539194</x:v>
      </x:c>
      <x:c r="D322" s="8" t="n">
        <x:f>ROUND(C322,2)</x:f>
        <x:v>57.2</x:v>
      </x:c>
      <x:c r="E322" s="2" t="str">
        <x:v>Rythern Master Price Sheet.xlsx | MASTER PRICE SHEET!I325</x:v>
      </x:c>
      <x:c r="F322" s="2"/>
      <x:c r="G322" s="2"/>
      <x:c r="H322" s="2"/>
    </x:row>
    <x:row r="323" ht="21" customHeight="1">
      <x:c r="A323" s="2" t="str">
        <x:v>W2712</x:v>
      </x:c>
      <x:c r="B323" s="2" t="str">
        <x:v>W2712</x:v>
      </x:c>
      <x:c r="C323" s="7" t="n">
        <x:v>56.32009945905784</x:v>
      </x:c>
      <x:c r="D323" s="8" t="n">
        <x:f>ROUND(C323,2)</x:f>
        <x:v>56.32</x:v>
      </x:c>
      <x:c r="E323" s="2" t="str">
        <x:v>Rythern Master Price Sheet.xlsx | MASTER PRICE SHEET!I326</x:v>
      </x:c>
      <x:c r="F323" s="2"/>
      <x:c r="G323" s="2"/>
      <x:c r="H323" s="2"/>
    </x:row>
    <x:row r="324" ht="21" customHeight="1">
      <x:c r="A324" s="2" t="str">
        <x:v>W2718</x:v>
      </x:c>
      <x:c r="B324" s="2" t="str">
        <x:v>W2718</x:v>
      </x:c>
      <x:c r="C324" s="7" t="n">
        <x:v>64.64958465671225</x:v>
      </x:c>
      <x:c r="D324" s="8" t="n">
        <x:f>ROUND(C324,2)</x:f>
        <x:v>64.65</x:v>
      </x:c>
      <x:c r="E324" s="2" t="str">
        <x:v>Rythern Master Price Sheet.xlsx | MASTER PRICE SHEET!I327</x:v>
      </x:c>
      <x:c r="F324" s="2"/>
      <x:c r="G324" s="2"/>
      <x:c r="H324" s="2"/>
    </x:row>
    <x:row r="325" ht="21" customHeight="1">
      <x:c r="A325" s="2" t="str">
        <x:v>W2718GD</x:v>
      </x:c>
      <x:c r="B325" s="2" t="str">
        <x:v>W2718GD</x:v>
      </x:c>
      <x:c r="C325" s="7" t="n">
        <x:v>60.599856206910346</x:v>
      </x:c>
      <x:c r="D325" s="8" t="n">
        <x:f>ROUND(C325,2)</x:f>
        <x:v>60.6</x:v>
      </x:c>
      <x:c r="E325" s="2" t="str">
        <x:v>Rythern Master Price Sheet.xlsx | MASTER PRICE SHEET!I328</x:v>
      </x:c>
      <x:c r="F325" s="2"/>
      <x:c r="G325" s="2"/>
      <x:c r="H325" s="2"/>
    </x:row>
    <x:row r="326" ht="21" customHeight="1">
      <x:c r="A326" s="2" t="str">
        <x:v>W301215</x:v>
      </x:c>
      <x:c r="B326" s="2" t="str">
        <x:v>W301215</x:v>
      </x:c>
      <x:c r="C326" s="7" t="n">
        <x:v>61.28147548292953</x:v>
      </x:c>
      <x:c r="D326" s="8" t="n">
        <x:f>ROUND(C326,2)</x:f>
        <x:v>61.28</x:v>
      </x:c>
      <x:c r="E326" s="2" t="str">
        <x:v>Rythern Master Price Sheet.xlsx | MASTER PRICE SHEET!I329</x:v>
      </x:c>
      <x:c r="F326" s="2"/>
      <x:c r="G326" s="2"/>
      <x:c r="H326" s="2"/>
    </x:row>
    <x:row r="327" ht="21" customHeight="1">
      <x:c r="A327" s="2" t="str">
        <x:v>W301515</x:v>
      </x:c>
      <x:c r="B327" s="2" t="str">
        <x:v>W301515</x:v>
      </x:c>
      <x:c r="C327" s="7" t="n">
        <x:v>66.51873745427518</x:v>
      </x:c>
      <x:c r="D327" s="8" t="n">
        <x:f>ROUND(C327,2)</x:f>
        <x:v>66.52</x:v>
      </x:c>
      <x:c r="E327" s="2" t="str">
        <x:v>Rythern Master Price Sheet.xlsx | MASTER PRICE SHEET!I330</x:v>
      </x:c>
      <x:c r="F327" s="2"/>
      <x:c r="G327" s="2"/>
      <x:c r="H327" s="2"/>
    </x:row>
    <x:row r="328" ht="21" customHeight="1">
      <x:c r="A328" s="2" t="str">
        <x:v>W301815</x:v>
      </x:c>
      <x:c r="B328" s="2" t="str">
        <x:v>W301815</x:v>
      </x:c>
      <x:c r="C328" s="7" t="n">
        <x:v>72.4178649080343</x:v>
      </x:c>
      <x:c r="D328" s="8" t="n">
        <x:f>ROUND(C328,2)</x:f>
        <x:v>72.42</x:v>
      </x:c>
      <x:c r="E328" s="2" t="str">
        <x:v>Rythern Master Price Sheet.xlsx | MASTER PRICE SHEET!I331</x:v>
      </x:c>
      <x:c r="F328" s="2"/>
      <x:c r="G328" s="2"/>
      <x:c r="H328" s="2"/>
    </x:row>
    <x:row r="329" ht="21" customHeight="1">
      <x:c r="A329" s="2" t="str">
        <x:v>W3018GD</x:v>
      </x:c>
      <x:c r="B329" s="2" t="str">
        <x:v>W3018GD</x:v>
      </x:c>
      <x:c r="C329" s="7" t="n">
        <x:v>64.01915672784672</x:v>
      </x:c>
      <x:c r="D329" s="8" t="n">
        <x:f>ROUND(C329,2)</x:f>
        <x:v>64.02</x:v>
      </x:c>
      <x:c r="E329" s="2" t="str">
        <x:v>Rythern Master Price Sheet.xlsx | MASTER PRICE SHEET!I332</x:v>
      </x:c>
      <x:c r="F329" s="2"/>
      <x:c r="G329" s="2"/>
      <x:c r="H329" s="2"/>
    </x:row>
    <x:row r="330" ht="21" customHeight="1">
      <x:c r="A330" s="2" t="str">
        <x:v>W302415</x:v>
      </x:c>
      <x:c r="B330" s="2" t="str">
        <x:v>W302415</x:v>
      </x:c>
      <x:c r="C330" s="7" t="n">
        <x:v>93.2631233684024</x:v>
      </x:c>
      <x:c r="D330" s="8" t="n">
        <x:f>ROUND(C330,2)</x:f>
        <x:v>93.26</x:v>
      </x:c>
      <x:c r="E330" s="2" t="str">
        <x:v>Rythern Master Price Sheet.xlsx | MASTER PRICE SHEET!I333</x:v>
      </x:c>
      <x:c r="F330" s="2"/>
      <x:c r="G330" s="2"/>
      <x:c r="H330" s="2"/>
    </x:row>
    <x:row r="331" ht="21" customHeight="1">
      <x:c r="A331" s="2" t="str">
        <x:v>W3315</x:v>
      </x:c>
      <x:c r="B331" s="2" t="str">
        <x:v>W3315</x:v>
      </x:c>
      <x:c r="C331" s="7" t="n">
        <x:v>63.8411948850682</x:v>
      </x:c>
      <x:c r="D331" s="8" t="n">
        <x:f>ROUND(C331,2)</x:f>
        <x:v>63.84</x:v>
      </x:c>
      <x:c r="E331" s="2" t="str">
        <x:v>Rythern Master Price Sheet.xlsx | MASTER PRICE SHEET!I334</x:v>
      </x:c>
      <x:c r="F331" s="2"/>
      <x:c r="G331" s="2"/>
      <x:c r="H331" s="2"/>
    </x:row>
    <x:row r="332" ht="21" customHeight="1">
      <x:c r="A332" s="2" t="str">
        <x:v>W3318</x:v>
      </x:c>
      <x:c r="B332" s="2" t="str">
        <x:v>W3318</x:v>
      </x:c>
      <x:c r="C332" s="7" t="n">
        <x:v>69.80092825432075</x:v>
      </x:c>
      <x:c r="D332" s="8" t="n">
        <x:f>ROUND(C332,2)</x:f>
        <x:v>69.8</x:v>
      </x:c>
      <x:c r="E332" s="2" t="str">
        <x:v>Rythern Master Price Sheet.xlsx | MASTER PRICE SHEET!I335</x:v>
      </x:c>
      <x:c r="F332" s="2"/>
      <x:c r="G332" s="2"/>
      <x:c r="H332" s="2"/>
    </x:row>
    <x:row r="333" ht="21" customHeight="1">
      <x:c r="A333" s="2" t="str">
        <x:v>W3318GD</x:v>
      </x:c>
      <x:c r="B333" s="2" t="str">
        <x:v>W3318GD</x:v>
      </x:c>
      <x:c r="C333" s="7" t="n">
        <x:v>67.33897656171152</x:v>
      </x:c>
      <x:c r="D333" s="8" t="n">
        <x:f>ROUND(C333,2)</x:f>
        <x:v>67.34</x:v>
      </x:c>
      <x:c r="E333" s="2" t="str">
        <x:v>Rythern Master Price Sheet.xlsx | MASTER PRICE SHEET!I336</x:v>
      </x:c>
      <x:c r="F333" s="2"/>
      <x:c r="G333" s="2"/>
      <x:c r="H333" s="2"/>
    </x:row>
    <x:row r="334" ht="21" customHeight="1">
      <x:c r="A334" s="2" t="str">
        <x:v>W361815</x:v>
      </x:c>
      <x:c r="B334" s="2" t="str">
        <x:v>W361815</x:v>
      </x:c>
      <x:c r="C334" s="7" t="n">
        <x:v>80.98939168275398</x:v>
      </x:c>
      <x:c r="D334" s="8" t="n">
        <x:f>ROUND(C334,2)</x:f>
        <x:v>80.99</x:v>
      </x:c>
      <x:c r="E334" s="2" t="str">
        <x:v>Rythern Master Price Sheet.xlsx | MASTER PRICE SHEET!I337</x:v>
      </x:c>
      <x:c r="F334" s="2"/>
      <x:c r="G334" s="2"/>
      <x:c r="H334" s="2"/>
    </x:row>
    <x:row r="335" ht="21" customHeight="1">
      <x:c r="A335" s="2" t="str">
        <x:v>W3618GD</x:v>
      </x:c>
      <x:c r="B335" s="2" t="str">
        <x:v>W3618GD</x:v>
      </x:c>
      <x:c r="C335" s="7" t="n">
        <x:v>70.78719749278011</x:v>
      </x:c>
      <x:c r="D335" s="8" t="n">
        <x:f>ROUND(C335,2)</x:f>
        <x:v>70.79</x:v>
      </x:c>
      <x:c r="E335" s="2" t="str">
        <x:v>Rythern Master Price Sheet.xlsx | MASTER PRICE SHEET!I338</x:v>
      </x:c>
      <x:c r="F335" s="2"/>
      <x:c r="G335" s="2"/>
      <x:c r="H335" s="2"/>
    </x:row>
    <x:row r="336" ht="21" customHeight="1">
      <x:c r="A336" s="2" t="str">
        <x:v>W362415</x:v>
      </x:c>
      <x:c r="B336" s="2" t="str">
        <x:v>W362415</x:v>
      </x:c>
      <x:c r="C336" s="7" t="n">
        <x:v>102.38977631117683</x:v>
      </x:c>
      <x:c r="D336" s="8" t="n">
        <x:f>ROUND(C336,2)</x:f>
        <x:v>102.39</x:v>
      </x:c>
      <x:c r="E336" s="2" t="str">
        <x:v>Rythern Master Price Sheet.xlsx | MASTER PRICE SHEET!I339</x:v>
      </x:c>
      <x:c r="F336" s="2"/>
      <x:c r="G336" s="2"/>
      <x:c r="H336" s="2"/>
    </x:row>
    <x:row r="337" ht="21" customHeight="1">
      <x:c r="A337" s="2" t="str">
        <x:v>W3918</x:v>
      </x:c>
      <x:c r="B337" s="2" t="str">
        <x:v>W3918</x:v>
      </x:c>
      <x:c r="C337" s="7" t="n">
        <x:v>78.79039527464514</x:v>
      </x:c>
      <x:c r="D337" s="8" t="n">
        <x:f>ROUND(C337,2)</x:f>
        <x:v>78.79</x:v>
      </x:c>
      <x:c r="E337" s="2" t="str">
        <x:v>Rythern Master Price Sheet.xlsx | MASTER PRICE SHEET!I340</x:v>
      </x:c>
      <x:c r="F337" s="2"/>
      <x:c r="G337" s="2"/>
      <x:c r="H337" s="2"/>
    </x:row>
    <x:row r="338" ht="21" customHeight="1">
      <x:c r="A338" s="2" t="str">
        <x:v>W3918GD</x:v>
      </x:c>
      <x:c r="B338" s="2" t="str">
        <x:v>W3918GD</x:v>
      </x:c>
      <x:c r="C338" s="7" t="n">
        <x:v>76.4779592441107</x:v>
      </x:c>
      <x:c r="D338" s="8" t="n">
        <x:f>ROUND(C338,2)</x:f>
        <x:v>76.48</x:v>
      </x:c>
      <x:c r="E338" s="2" t="str">
        <x:v>Rythern Master Price Sheet.xlsx | MASTER PRICE SHEET!I341</x:v>
      </x:c>
      <x:c r="F338" s="2"/>
      <x:c r="G338" s="2"/>
      <x:c r="H338" s="2"/>
    </x:row>
    <x:row r="339" ht="21" customHeight="1">
      <x:c r="A339" s="2" t="str">
        <x:v>W392424</x:v>
      </x:c>
      <x:c r="B339" s="2" t="str">
        <x:v>W392424</x:v>
      </x:c>
      <x:c r="C339" s="7" t="n">
        <x:v>131.48313501282868</x:v>
      </x:c>
      <x:c r="D339" s="8" t="n">
        <x:f>ROUND(C339,2)</x:f>
        <x:v>131.48</x:v>
      </x:c>
      <x:c r="E339" s="2" t="str">
        <x:v>Rythern Master Price Sheet.xlsx | MASTER PRICE SHEET!I342</x:v>
      </x:c>
      <x:c r="F339" s="2"/>
      <x:c r="G339" s="2"/>
      <x:c r="H339" s="2"/>
    </x:row>
    <x:row r="340" ht="21" customHeight="1">
      <x:c r="A340" s="2" t="str">
        <x:v>W3930</x:v>
      </x:c>
      <x:c r="B340" s="2" t="str">
        <x:v>W3930</x:v>
      </x:c>
      <x:c r="C340" s="7" t="n">
        <x:v>125.2510241838879</x:v>
      </x:c>
      <x:c r="D340" s="8" t="n">
        <x:f>ROUND(C340,2)</x:f>
        <x:v>125.25</x:v>
      </x:c>
      <x:c r="E340" s="2" t="str">
        <x:v>Rythern Master Price Sheet.xlsx | MASTER PRICE SHEET!I343</x:v>
      </x:c>
      <x:c r="F340" s="2"/>
      <x:c r="G340" s="2"/>
      <x:c r="H340" s="2"/>
    </x:row>
    <x:row r="341" ht="21" customHeight="1">
      <x:c r="A341" s="2" t="str">
        <x:v>W3936</x:v>
      </x:c>
      <x:c r="B341" s="2" t="str">
        <x:v>W3936</x:v>
      </x:c>
      <x:c r="C341" s="7" t="n">
        <x:v>139.3783469046352</x:v>
      </x:c>
      <x:c r="D341" s="8" t="n">
        <x:f>ROUND(C341,2)</x:f>
        <x:v>139.38</x:v>
      </x:c>
      <x:c r="E341" s="2" t="str">
        <x:v>Rythern Master Price Sheet.xlsx | MASTER PRICE SHEET!I344</x:v>
      </x:c>
      <x:c r="F341" s="2"/>
      <x:c r="G341" s="2"/>
      <x:c r="H341" s="2"/>
    </x:row>
    <x:row r="342" ht="21" customHeight="1">
      <x:c r="A342" s="2" t="str">
        <x:v>W3942</x:v>
      </x:c>
      <x:c r="B342" s="2" t="str">
        <x:v>W3942</x:v>
      </x:c>
      <x:c r="C342" s="7" t="n">
        <x:v>163.57074912646684</x:v>
      </x:c>
      <x:c r="D342" s="8" t="n">
        <x:f>ROUND(C342,2)</x:f>
        <x:v>163.57</x:v>
      </x:c>
      <x:c r="E342" s="2" t="str">
        <x:v>Rythern Master Price Sheet.xlsx | MASTER PRICE SHEET!I345</x:v>
      </x:c>
      <x:c r="F342" s="2"/>
      <x:c r="G342" s="2"/>
      <x:c r="H342" s="2"/>
    </x:row>
    <x:row r="343" ht="21" customHeight="1">
      <x:c r="A343" s="2" t="str">
        <x:v>SB49</x:v>
      </x:c>
      <x:c r="B343" s="2" t="str">
        <x:v>SB49</x:v>
      </x:c>
      <x:c r="C343" s="7" t="n">
        <x:v>173.54579273078022</x:v>
      </x:c>
      <x:c r="D343" s="8" t="n">
        <x:f>ROUND(C343,2)</x:f>
        <x:v>173.55</x:v>
      </x:c>
      <x:c r="E343" s="2" t="str">
        <x:v>Rythern Master Price Sheet.xlsx | MASTER PRICE SHEET!I346</x:v>
      </x:c>
      <x:c r="F343" s="2"/>
      <x:c r="G343" s="2"/>
      <x:c r="H343" s="2"/>
    </x:row>
    <x:row r="344" ht="21" customHeight="1">
      <x:c r="A344" s="2" t="str">
        <x:v>SB48</x:v>
      </x:c>
      <x:c r="B344" s="2" t="str">
        <x:v>SB48</x:v>
      </x:c>
      <x:c r="C344" s="7" t="n">
        <x:v>171.37615386923036</x:v>
      </x:c>
      <x:c r="D344" s="8" t="n">
        <x:f>ROUND(C344,2)</x:f>
        <x:v>171.38</x:v>
      </x:c>
      <x:c r="E344" s="2" t="str">
        <x:v>Rythern Master Price Sheet.xlsx | MASTER PRICE SHEET!I347</x:v>
      </x:c>
      <x:c r="F344" s="2"/>
      <x:c r="G344" s="2"/>
      <x:c r="H344" s="2"/>
    </x:row>
    <x:row r="345" ht="21" customHeight="1">
      <x:c r="A345" s="2" t="str">
        <x:v>W4530</x:v>
      </x:c>
      <x:c r="B345" s="2" t="str">
        <x:v>W4530</x:v>
      </x:c>
      <x:c r="C345" s="7" t="n">
        <x:v>141.00038861266134</x:v>
      </x:c>
      <x:c r="D345" s="8" t="n">
        <x:f>ROUND(C345,2)</x:f>
        <x:v>141</x:v>
      </x:c>
      <x:c r="E345" s="2" t="str">
        <x:v>Rythern Master Price Sheet.xlsx | MASTER PRICE SHEET!I348</x:v>
      </x:c>
      <x:c r="F345" s="2"/>
      <x:c r="G345" s="2"/>
      <x:c r="H345" s="2"/>
    </x:row>
    <x:row r="346" ht="21" customHeight="1">
      <x:c r="A346" s="2" t="str">
        <x:v>SB60</x:v>
      </x:c>
      <x:c r="B346" s="2" t="str">
        <x:v>SB60</x:v>
      </x:c>
      <x:c r="C346" s="7" t="n">
        <x:v>201.67823639034992</x:v>
      </x:c>
      <x:c r="D346" s="8" t="n">
        <x:f>ROUND(C346,2)</x:f>
        <x:v>201.68</x:v>
      </x:c>
      <x:c r="E346" s="2" t="str">
        <x:v>Rythern Master Price Sheet.xlsx | MASTER PRICE SHEET!I349</x:v>
      </x:c>
      <x:c r="F346" s="2"/>
      <x:c r="G346" s="2"/>
      <x:c r="H346" s="2"/>
    </x:row>
    <x:row r="347" ht="21" customHeight="1">
      <x:c r="A347" s="2" t="str">
        <x:v>W4218</x:v>
      </x:c>
      <x:c r="B347" s="2" t="str">
        <x:v>W4218</x:v>
      </x:c>
      <x:c r="C347" s="7" t="n">
        <x:v>86.41330287342161</x:v>
      </x:c>
      <x:c r="D347" s="8" t="n">
        <x:f>ROUND(C347,2)</x:f>
        <x:v>86.41</x:v>
      </x:c>
      <x:c r="E347" s="2" t="str">
        <x:v>Rythern Master Price Sheet.xlsx | MASTER PRICE SHEET!I350</x:v>
      </x:c>
      <x:c r="F347" s="2"/>
      <x:c r="G347" s="2"/>
      <x:c r="H347" s="2"/>
    </x:row>
    <x:row r="348" ht="21" customHeight="1">
      <x:c r="A348" s="2" t="str">
        <x:v>W302715</x:v>
      </x:c>
      <x:c r="B348" s="2" t="str">
        <x:v>W302715</x:v>
      </x:c>
      <x:c r="C348" s="7" t="n">
        <x:v>97.09545064397032</x:v>
      </x:c>
      <x:c r="D348" s="8" t="n">
        <x:f>ROUND(C348,2)</x:f>
        <x:v>97.1</x:v>
      </x:c>
      <x:c r="E348" s="2" t="str">
        <x:v>Rythern Master Price Sheet.xlsx | MASTER PRICE SHEET!I351</x:v>
      </x:c>
      <x:c r="F348" s="2"/>
      <x:c r="G348" s="2"/>
      <x:c r="H348" s="2"/>
    </x:row>
    <x:row r="349" ht="21" customHeight="1">
      <x:c r="A349" s="2" t="str">
        <x:v>W4242</x:v>
      </x:c>
      <x:c r="B349" s="2" t="str">
        <x:v>W4242</x:v>
      </x:c>
      <x:c r="C349" s="7" t="n">
        <x:v>172.36460692681683</x:v>
      </x:c>
      <x:c r="D349" s="8" t="n">
        <x:f>ROUND(C349,2)</x:f>
        <x:v>172.36</x:v>
      </x:c>
      <x:c r="E349" s="2" t="str">
        <x:v>Rythern Master Price Sheet.xlsx | MASTER PRICE SHEET!I352</x:v>
      </x:c>
      <x:c r="F349" s="2"/>
      <x:c r="G349" s="2"/>
      <x:c r="H349" s="2"/>
    </x:row>
    <x:row r="350" ht="21" customHeight="1">
      <x:c r="A350" s="2" t="str">
        <x:v>4896-two side finish</x:v>
      </x:c>
      <x:c r="B350" s="2" t="str">
        <x:v>4896-two side finish</x:v>
      </x:c>
      <x:c r="C350" s="7" t="n">
        <x:v>69.7427543079382</x:v>
      </x:c>
      <x:c r="D350" s="8" t="n">
        <x:f>ROUND(C350,2)</x:f>
        <x:v>69.74</x:v>
      </x:c>
      <x:c r="E350" s="2" t="str">
        <x:v>Rythern Master Price Sheet.xlsx | MASTER PRICE SHEET!I353</x:v>
      </x:c>
      <x:c r="F350" s="2"/>
      <x:c r="G350" s="2"/>
      <x:c r="H350" s="2"/>
    </x:row>
    <x:row r="351" ht="21" customHeight="1">
      <x:c r="A351" s="2" t="str">
        <x:v>4896-one side finish</x:v>
      </x:c>
      <x:c r="B351" s="2" t="str">
        <x:v>4896-one side finish</x:v>
      </x:c>
      <x:c r="C351" s="7" t="n">
        <x:v>69.7427543079382</x:v>
      </x:c>
      <x:c r="D351" s="8" t="n">
        <x:f>ROUND(C351,2)</x:f>
        <x:v>69.74</x:v>
      </x:c>
      <x:c r="E351" s="2" t="str">
        <x:v>Rythern Master Price Sheet.xlsx | MASTER PRICE SHEET!I354</x:v>
      </x:c>
      <x:c r="F351" s="2"/>
      <x:c r="G351" s="2"/>
      <x:c r="H351" s="2"/>
    </x:row>
    <x:row r="352" ht="21" customHeight="1">
      <x:c r="A352" s="2" t="str">
        <x:v>BF3</x:v>
      </x:c>
      <x:c r="B352" s="2" t="str">
        <x:v>BF3</x:v>
      </x:c>
      <x:c r="C352" s="7" t="n">
        <x:v>12.732895407042431</x:v>
      </x:c>
      <x:c r="D352" s="8" t="n">
        <x:f>ROUND(C352,2)</x:f>
        <x:v>12.73</x:v>
      </x:c>
      <x:c r="E352" s="2" t="str">
        <x:v>Rythern Master Price Sheet.xlsx | MASTER PRICE SHEET!I355</x:v>
      </x:c>
      <x:c r="F352" s="2"/>
      <x:c r="G352" s="2"/>
      <x:c r="H352" s="2"/>
    </x:row>
    <x:row r="353" ht="21" customHeight="1">
      <x:c r="A353" s="2" t="str">
        <x:v>WF342</x:v>
      </x:c>
      <x:c r="B353" s="2" t="str">
        <x:v>WF342</x:v>
      </x:c>
      <x:c r="C353" s="7" t="n">
        <x:v>10.679406476053764</x:v>
      </x:c>
      <x:c r="D353" s="8" t="n">
        <x:f>ROUND(C353,2)</x:f>
        <x:v>10.68</x:v>
      </x:c>
      <x:c r="E353" s="2" t="str">
        <x:v>Rythern Master Price Sheet.xlsx | MASTER PRICE SHEET!I356</x:v>
      </x:c>
      <x:c r="F353" s="2"/>
      <x:c r="G353" s="2"/>
      <x:c r="H353" s="2"/>
    </x:row>
    <x:row r="354" ht="21" customHeight="1">
      <x:c r="A354" s="2" t="str">
        <x:v>ROPE</x:v>
      </x:c>
      <x:c r="B354" s="2" t="str">
        <x:v>ROPE</x:v>
      </x:c>
      <x:c r="C354" s="7" t="n">
        <x:v>17.324607642602995</x:v>
      </x:c>
      <x:c r="D354" s="8" t="n">
        <x:f>ROUND(C354,2)</x:f>
        <x:v>17.32</x:v>
      </x:c>
      <x:c r="E354" s="2" t="str">
        <x:v>Rythern Master Price Sheet.xlsx | MASTER PRICE SHEET!I357</x:v>
      </x:c>
      <x:c r="F354" s="2"/>
      <x:c r="G354" s="2"/>
      <x:c r="H354" s="2"/>
    </x:row>
    <x:row r="355" ht="21" customHeight="1">
      <x:c r="A355" s="2" t="str">
        <x:v>SF</x:v>
      </x:c>
      <x:c r="B355" s="2" t="str">
        <x:v>SF</x:v>
      </x:c>
      <x:c r="C355" s="7" t="n">
        <x:v>33.49464877045264</x:v>
      </x:c>
      <x:c r="D355" s="8" t="n">
        <x:f>ROUND(C355,2)</x:f>
        <x:v>33.49</x:v>
      </x:c>
      <x:c r="E355" s="2" t="str">
        <x:v>Rythern Master Price Sheet.xlsx | MASTER PRICE SHEET!I358</x:v>
      </x:c>
      <x:c r="F355" s="2"/>
      <x:c r="G355" s="2"/>
      <x:c r="H355" s="2"/>
    </x:row>
    <x:row r="356" ht="21" customHeight="1">
      <x:c r="A356" s="2" t="str">
        <x:v>VS39</x:v>
      </x:c>
      <x:c r="B356" s="2" t="str">
        <x:v>VS39</x:v>
      </x:c>
      <x:c r="C356" s="7" t="n">
        <x:v>126.05017168459545</x:v>
      </x:c>
      <x:c r="D356" s="8" t="n">
        <x:f>ROUND(C356,2)</x:f>
        <x:v>126.05</x:v>
      </x:c>
      <x:c r="E356" s="2" t="str">
        <x:v>Rythern Master Price Sheet.xlsx | MASTER PRICE SHEET!I359</x:v>
      </x:c>
      <x:c r="F356" s="2"/>
      <x:c r="G356" s="2"/>
      <x:c r="H356" s="2"/>
    </x:row>
    <x:row r="357" ht="21" customHeight="1">
      <x:c r="A357" s="2" t="str">
        <x:v>WER2736</x:v>
      </x:c>
      <x:c r="B357" s="2" t="str">
        <x:v>WER2736</x:v>
      </x:c>
      <x:c r="C357" s="7" t="n">
        <x:v>135.95691532644116</x:v>
      </x:c>
      <x:c r="D357" s="8" t="n">
        <x:f>ROUND(C357,2)</x:f>
        <x:v>135.96</x:v>
      </x:c>
      <x:c r="E357" s="2" t="str">
        <x:v>Rythern Master Price Sheet.xlsx | MASTER PRICE SHEET!I360</x:v>
      </x:c>
      <x:c r="F357" s="2"/>
      <x:c r="G357" s="2"/>
      <x:c r="H357" s="2"/>
    </x:row>
    <x:row r="358" ht="21" customHeight="1">
      <x:c r="A358" s="2" t="str">
        <x:v>W4236</x:v>
      </x:c>
      <x:c r="B358" s="2" t="str">
        <x:v>W4236</x:v>
      </x:c>
      <x:c r="C358" s="7" t="n">
        <x:v>150.68145072976418</x:v>
      </x:c>
      <x:c r="D358" s="8" t="n">
        <x:f>ROUND(C358,2)</x:f>
        <x:v>150.68</x:v>
      </x:c>
      <x:c r="E358" s="2" t="str">
        <x:v>Rythern Master Price Sheet.xlsx | MASTER PRICE SHEET!I361</x:v>
      </x:c>
      <x:c r="F358" s="2"/>
      <x:c r="G358" s="2"/>
      <x:c r="H358" s="2"/>
    </x:row>
    <x:row r="359" ht="21" customHeight="1">
      <x:c r="A359" s="2" t="str">
        <x:v>B27ADA</x:v>
      </x:c>
      <x:c r="B359" s="2" t="str">
        <x:v>B27ADA</x:v>
      </x:c>
      <x:c r="C359" s="7" t="n">
        <x:v>108.27558777707547</x:v>
      </x:c>
      <x:c r="D359" s="8" t="n">
        <x:f>ROUND(C359,2)</x:f>
        <x:v>108.28</x:v>
      </x:c>
      <x:c r="E359" s="2" t="str">
        <x:v>Rythern Master Price Sheet.xlsx | MASTER PRICE SHEET!I362</x:v>
      </x:c>
      <x:c r="F359" s="2"/>
      <x:c r="G359" s="2"/>
      <x:c r="H359" s="2"/>
    </x:row>
    <x:row r="360" ht="21" customHeight="1">
      <x:c r="A360" s="2" t="str">
        <x:v>VB15ADA</x:v>
      </x:c>
      <x:c r="B360" s="2" t="str">
        <x:v>VB15ADA</x:v>
      </x:c>
      <x:c r="C360" s="7" t="n">
        <x:v>69.9437719082189</x:v>
      </x:c>
      <x:c r="D360" s="8" t="n">
        <x:f>ROUND(C360,2)</x:f>
        <x:v>69.94</x:v>
      </x:c>
      <x:c r="E360" s="2" t="str">
        <x:v>Rythern Master Price Sheet.xlsx | MASTER PRICE SHEET!I363</x:v>
      </x:c>
      <x:c r="F360" s="2"/>
      <x:c r="G360" s="2"/>
      <x:c r="H360" s="2"/>
    </x:row>
    <x:row r="361" ht="21" customHeight="1">
      <x:c r="A361" s="2" t="str">
        <x:v>VB18ADA</x:v>
      </x:c>
      <x:c r="B361" s="2" t="str">
        <x:v>VB18ADA</x:v>
      </x:c>
      <x:c r="C361" s="7" t="n">
        <x:v>75.16478275957296</x:v>
      </x:c>
      <x:c r="D361" s="8" t="n">
        <x:f>ROUND(C361,2)</x:f>
        <x:v>75.16</x:v>
      </x:c>
      <x:c r="E361" s="2" t="str">
        <x:v>Rythern Master Price Sheet.xlsx | MASTER PRICE SHEET!I364</x:v>
      </x:c>
      <x:c r="F361" s="2"/>
      <x:c r="G361" s="2"/>
      <x:c r="H361" s="2"/>
    </x:row>
    <x:row r="362" ht="21" customHeight="1">
      <x:c r="A362" s="2" t="str">
        <x:v>VB21ADA</x:v>
      </x:c>
      <x:c r="B362" s="2" t="str">
        <x:v>VB21ADA</x:v>
      </x:c>
      <x:c r="C362" s="7" t="n">
        <x:v>80.37172070097186</x:v>
      </x:c>
      <x:c r="D362" s="8" t="n">
        <x:f>ROUND(C362,2)</x:f>
        <x:v>80.37</x:v>
      </x:c>
      <x:c r="E362" s="2" t="str">
        <x:v>Rythern Master Price Sheet.xlsx | MASTER PRICE SHEET!I365</x:v>
      </x:c>
      <x:c r="F362" s="2"/>
      <x:c r="G362" s="2"/>
      <x:c r="H362" s="2"/>
    </x:row>
    <x:row r="363" ht="21" customHeight="1">
      <x:c r="A363" s="2" t="str">
        <x:v>3DB18 ADA</x:v>
      </x:c>
      <x:c r="B363" s="2" t="str">
        <x:v>3DB18 ADA</x:v>
      </x:c>
      <x:c r="C363" s="7" t="n">
        <x:v>124.56185710045284</x:v>
      </x:c>
      <x:c r="D363" s="8" t="n">
        <x:f>ROUND(C363,2)</x:f>
        <x:v>124.56</x:v>
      </x:c>
      <x:c r="E363" s="2" t="str">
        <x:v>Rythern Master Price Sheet.xlsx | MASTER PRICE SHEET!I366</x:v>
      </x:c>
      <x:c r="F363" s="2"/>
      <x:c r="G363" s="2"/>
      <x:c r="H363" s="2"/>
    </x:row>
    <x:row r="364" ht="21" customHeight="1">
      <x:c r="A364" s="2" t="str">
        <x:v>3DB24 ADA</x:v>
      </x:c>
      <x:c r="B364" s="2" t="str">
        <x:v>3DB24 ADA</x:v>
      </x:c>
      <x:c r="C364" s="7" t="n">
        <x:v>139.79544957129212</x:v>
      </x:c>
      <x:c r="D364" s="8" t="n">
        <x:f>ROUND(C364,2)</x:f>
        <x:v>139.8</x:v>
      </x:c>
      <x:c r="E364" s="2" t="str">
        <x:v>Rythern Master Price Sheet.xlsx | MASTER PRICE SHEET!I367</x:v>
      </x:c>
      <x:c r="F364" s="2"/>
      <x:c r="G364" s="2"/>
      <x:c r="H364" s="2"/>
    </x:row>
    <x:row r="365" ht="21" customHeight="1">
      <x:c r="A365" s="2" t="str">
        <x:v>3VDB9 ADA</x:v>
      </x:c>
      <x:c r="B365" s="2" t="str">
        <x:v>3VDB9 ADA</x:v>
      </x:c>
      <x:c r="C365" s="7" t="n">
        <x:v>97.06709642275017</x:v>
      </x:c>
      <x:c r="D365" s="8" t="n">
        <x:f>ROUND(C365,2)</x:f>
        <x:v>97.07</x:v>
      </x:c>
      <x:c r="E365" s="2" t="str">
        <x:v>Rythern Master Price Sheet.xlsx | MASTER PRICE SHEET!I368</x:v>
      </x:c>
      <x:c r="F365" s="2"/>
      <x:c r="G365" s="2"/>
      <x:c r="H365" s="2"/>
    </x:row>
    <x:row r="366" ht="21" customHeight="1">
      <x:c r="A366" s="2" t="str">
        <x:v>3VDB12 ADA</x:v>
      </x:c>
      <x:c r="B366" s="2" t="str">
        <x:v>3VDB12 ADA</x:v>
      </x:c>
      <x:c r="C366" s="7" t="n">
        <x:v>103.693912675552</x:v>
      </x:c>
      <x:c r="D366" s="8" t="n">
        <x:f>ROUND(C366,2)</x:f>
        <x:v>103.69</x:v>
      </x:c>
      <x:c r="E366" s="2" t="str">
        <x:v>Rythern Master Price Sheet.xlsx | MASTER PRICE SHEET!I369</x:v>
      </x:c>
      <x:c r="F366" s="2"/>
      <x:c r="G366" s="2"/>
      <x:c r="H366" s="2"/>
    </x:row>
    <x:row r="367" ht="21" customHeight="1">
      <x:c r="A367" s="2" t="str">
        <x:v>3VDB15 ADA</x:v>
      </x:c>
      <x:c r="B367" s="2" t="str">
        <x:v>3VDB15 ADA</x:v>
      </x:c>
      <x:c r="C367" s="7" t="n">
        <x:v>109.05092314500493</x:v>
      </x:c>
      <x:c r="D367" s="8" t="n">
        <x:f>ROUND(C367,2)</x:f>
        <x:v>109.05</x:v>
      </x:c>
      <x:c r="E367" s="2" t="str">
        <x:v>Rythern Master Price Sheet.xlsx | MASTER PRICE SHEET!I370</x:v>
      </x:c>
      <x:c r="F367" s="2"/>
      <x:c r="G367" s="2"/>
      <x:c r="H367" s="2"/>
    </x:row>
    <x:row r="368" ht="21" customHeight="1">
      <x:c r="A368" s="2" t="str">
        <x:v>3VDB21 ADA</x:v>
      </x:c>
      <x:c r="B368" s="2" t="str">
        <x:v>3VDB21 ADA</x:v>
      </x:c>
      <x:c r="C368" s="7" t="n">
        <x:v>121.49589282809494</x:v>
      </x:c>
      <x:c r="D368" s="8" t="n">
        <x:f>ROUND(C368,2)</x:f>
        <x:v>121.5</x:v>
      </x:c>
      <x:c r="E368" s="2" t="str">
        <x:v>Rythern Master Price Sheet.xlsx | MASTER PRICE SHEET!I371</x:v>
      </x:c>
      <x:c r="F368" s="2"/>
      <x:c r="G368" s="2"/>
      <x:c r="H368" s="2"/>
    </x:row>
    <x:row r="369" ht="21" customHeight="1">
      <x:c r="A369" s="2" t="str">
        <x:v>B18FHDADA</x:v>
      </x:c>
      <x:c r="B369" s="2" t="str">
        <x:v>B18FHDADA</x:v>
      </x:c>
      <x:c r="C369" s="7" t="n">
        <x:v>63.97580147007881</x:v>
      </x:c>
      <x:c r="D369" s="8" t="n">
        <x:f>ROUND(C369,2)</x:f>
        <x:v>63.98</x:v>
      </x:c>
      <x:c r="E369" s="2" t="str">
        <x:v>Rythern Master Price Sheet.xlsx | MASTER PRICE SHEET!I372</x:v>
      </x:c>
      <x:c r="F369" s="2"/>
      <x:c r="G369" s="2"/>
      <x:c r="H369" s="2"/>
    </x:row>
    <x:row r="370" ht="21" customHeight="1">
      <x:c r="A370" s="2" t="str">
        <x:v>B27FHDADA</x:v>
      </x:c>
      <x:c r="B370" s="2" t="str">
        <x:v>B27FHDADA</x:v>
      </x:c>
      <x:c r="C370" s="7" t="n">
        <x:v>84.96793848270762</x:v>
      </x:c>
      <x:c r="D370" s="8" t="n">
        <x:f>ROUND(C370,2)</x:f>
        <x:v>84.97</x:v>
      </x:c>
      <x:c r="E370" s="2" t="str">
        <x:v>Rythern Master Price Sheet.xlsx | MASTER PRICE SHEET!I373</x:v>
      </x:c>
      <x:c r="F370" s="2"/>
      <x:c r="G370" s="2"/>
      <x:c r="H370" s="2"/>
    </x:row>
    <x:row r="371" ht="21" customHeight="1">
      <x:c r="A371" s="2" t="str">
        <x:v>B36FHDADA</x:v>
      </x:c>
      <x:c r="B371" s="2" t="str">
        <x:v>B36FHDADA</x:v>
      </x:c>
      <x:c r="C371" s="7" t="n">
        <x:v>100.79540577365783</x:v>
      </x:c>
      <x:c r="D371" s="8" t="n">
        <x:f>ROUND(C371,2)</x:f>
        <x:v>100.8</x:v>
      </x:c>
      <x:c r="E371" s="2" t="str">
        <x:v>Rythern Master Price Sheet.xlsx | MASTER PRICE SHEET!I374</x:v>
      </x:c>
      <x:c r="F371" s="2"/>
      <x:c r="G371" s="2"/>
      <x:c r="H371" s="2"/>
    </x:row>
    <x:row r="372" ht="21" customHeight="1">
      <x:c r="A372" s="2" t="str">
        <x:v>SB36ADA</x:v>
      </x:c>
      <x:c r="B372" s="2" t="str">
        <x:v>SB36ADA</x:v>
      </x:c>
      <x:c r="C372" s="7" t="n">
        <x:v>86.52122927018755</x:v>
      </x:c>
      <x:c r="D372" s="8" t="n">
        <x:f>ROUND(C372,2)</x:f>
        <x:v>86.52</x:v>
      </x:c>
      <x:c r="E372" s="2" t="str">
        <x:v>Rythern Master Price Sheet.xlsx | MASTER PRICE SHEET!I375</x:v>
      </x:c>
      <x:c r="F372" s="2"/>
      <x:c r="G372" s="2"/>
      <x:c r="H372" s="2"/>
    </x:row>
    <x:row r="373" ht="21" customHeight="1">
      <x:c r="A373" s="2" t="str">
        <x:v>VS27ADA</x:v>
      </x:c>
      <x:c r="B373" s="2" t="str">
        <x:v>VS27ADA</x:v>
      </x:c>
      <x:c r="C373" s="7" t="n">
        <x:v>75.66923512458732</x:v>
      </x:c>
      <x:c r="D373" s="8" t="n">
        <x:f>ROUND(C373,2)</x:f>
        <x:v>75.67</x:v>
      </x:c>
      <x:c r="E373" s="2" t="str">
        <x:v>Rythern Master Price Sheet.xlsx | MASTER PRICE SHEET!I376</x:v>
      </x:c>
      <x:c r="F373" s="2"/>
      <x:c r="G373" s="2"/>
      <x:c r="H373" s="2"/>
    </x:row>
    <x:row r="374" ht="21" customHeight="1">
      <x:c r="A374" s="2" t="str">
        <x:v>BBC36 FHDADA</x:v>
      </x:c>
      <x:c r="B374" s="2" t="str">
        <x:v>BBC36 FHDADA</x:v>
      </x:c>
      <x:c r="C374" s="7" t="n">
        <x:v>110.2294585952697</x:v>
      </x:c>
      <x:c r="D374" s="8" t="n">
        <x:f>ROUND(C374,2)</x:f>
        <x:v>110.23</x:v>
      </x:c>
      <x:c r="E374" s="2" t="str">
        <x:v>Rythern Master Price Sheet.xlsx | MASTER PRICE SHEET!I377</x:v>
      </x:c>
      <x:c r="F374" s="2"/>
      <x:c r="G374" s="2"/>
      <x:c r="H374" s="2"/>
    </x:row>
    <x:row r="375" ht="21" customHeight="1">
      <x:c r="A375" s="2" t="str">
        <x:v>BBC39 FHDADA</x:v>
      </x:c>
      <x:c r="B375" s="2" t="str">
        <x:v>BBC39 FHDADA</x:v>
      </x:c>
      <x:c r="C375" s="7" t="n">
        <x:v>114.35733869069453</x:v>
      </x:c>
      <x:c r="D375" s="8" t="n">
        <x:f>ROUND(C375,2)</x:f>
        <x:v>114.36</x:v>
      </x:c>
      <x:c r="E375" s="2" t="str">
        <x:v>Rythern Master Price Sheet.xlsx | MASTER PRICE SHEET!I378</x:v>
      </x:c>
      <x:c r="F375" s="2"/>
      <x:c r="G375" s="2"/>
      <x:c r="H375" s="2"/>
    </x:row>
    <x:row r="376" ht="21" customHeight="1">
      <x:c r="A376" s="2" t="str">
        <x:v>B12FH</x:v>
      </x:c>
      <x:c r="B376" s="2" t="str">
        <x:v>B12FH</x:v>
      </x:c>
      <x:c r="C376" s="7" t="n">
        <x:v>66.19094422459733</x:v>
      </x:c>
      <x:c r="D376" s="8" t="n">
        <x:f>ROUND(C376,2)</x:f>
        <x:v>66.19</x:v>
      </x:c>
      <x:c r="E376" s="2" t="str">
        <x:v>Rythern Master Price Sheet.xlsx | MASTER PRICE SHEET!I379</x:v>
      </x:c>
      <x:c r="F376" s="2"/>
      <x:c r="G376" s="2"/>
      <x:c r="H376" s="2"/>
    </x:row>
    <x:row r="377" ht="21" customHeight="1">
      <x:c r="A377" s="2" t="str">
        <x:v>B12FHTD</x:v>
      </x:c>
      <x:c r="B377" s="2" t="str">
        <x:v>B12FHTD</x:v>
      </x:c>
      <x:c r="C377" s="7" t="n">
        <x:v>72.60967919192322</x:v>
      </x:c>
      <x:c r="D377" s="8" t="n">
        <x:f>ROUND(C377,2)</x:f>
        <x:v>72.61</x:v>
      </x:c>
      <x:c r="E377" s="2" t="str">
        <x:v>Rythern Master Price Sheet.xlsx | MASTER PRICE SHEET!I380</x:v>
      </x:c>
      <x:c r="F377" s="2"/>
      <x:c r="G377" s="2"/>
      <x:c r="H377" s="2"/>
    </x:row>
    <x:row r="378" ht="21" customHeight="1">
      <x:c r="A378" s="2" t="str">
        <x:v>B12TD</x:v>
      </x:c>
      <x:c r="B378" s="2" t="str">
        <x:v>B12TD</x:v>
      </x:c>
      <x:c r="C378" s="7" t="n">
        <x:v>96.92687209209265</x:v>
      </x:c>
      <x:c r="D378" s="8" t="n">
        <x:f>ROUND(C378,2)</x:f>
        <x:v>96.93</x:v>
      </x:c>
      <x:c r="E378" s="2" t="str">
        <x:v>Rythern Master Price Sheet.xlsx | MASTER PRICE SHEET!I381</x:v>
      </x:c>
      <x:c r="F378" s="2"/>
      <x:c r="G378" s="2"/>
      <x:c r="H378" s="2"/>
    </x:row>
    <x:row r="379" ht="21" customHeight="1">
      <x:c r="A379" s="2" t="str">
        <x:v>B15FH</x:v>
      </x:c>
      <x:c r="B379" s="2" t="str">
        <x:v>B15FH</x:v>
      </x:c>
      <x:c r="C379" s="7" t="n">
        <x:v>71.94692798570523</x:v>
      </x:c>
      <x:c r="D379" s="8" t="n">
        <x:f>ROUND(C379,2)</x:f>
        <x:v>71.95</x:v>
      </x:c>
      <x:c r="E379" s="2" t="str">
        <x:v>Rythern Master Price Sheet.xlsx | MASTER PRICE SHEET!I382</x:v>
      </x:c>
      <x:c r="F379" s="2"/>
      <x:c r="G379" s="2"/>
      <x:c r="H379" s="2"/>
    </x:row>
    <x:row r="380" ht="21" customHeight="1">
      <x:c r="A380" s="2" t="str">
        <x:v>B15FHTCPO</x:v>
      </x:c>
      <x:c r="B380" s="2" t="str">
        <x:v>B15FHTCPO</x:v>
      </x:c>
      <x:c r="C380" s="7" t="n">
        <x:v>100.20326479812425</x:v>
      </x:c>
      <x:c r="D380" s="8" t="n">
        <x:f>ROUND(C380,2)</x:f>
        <x:v>100.2</x:v>
      </x:c>
      <x:c r="E380" s="2" t="str">
        <x:v>Rythern Master Price Sheet.xlsx | MASTER PRICE SHEET!I383</x:v>
      </x:c>
      <x:c r="F380" s="2"/>
      <x:c r="G380" s="2"/>
      <x:c r="H380" s="2"/>
    </x:row>
    <x:row r="381" ht="21" customHeight="1">
      <x:c r="A381" s="2" t="str">
        <x:v>B15FHTD</x:v>
      </x:c>
      <x:c r="B381" s="2" t="str">
        <x:v>B15FHTD</x:v>
      </x:c>
      <x:c r="C381" s="7" t="n">
        <x:v>78.36566295303156</x:v>
      </x:c>
      <x:c r="D381" s="8" t="n">
        <x:f>ROUND(C381,2)</x:f>
        <x:v>78.37</x:v>
      </x:c>
      <x:c r="E381" s="2" t="str">
        <x:v>Rythern Master Price Sheet.xlsx | MASTER PRICE SHEET!I384</x:v>
      </x:c>
      <x:c r="F381" s="2"/>
      <x:c r="G381" s="2"/>
      <x:c r="H381" s="2"/>
    </x:row>
    <x:row r="382" ht="21" customHeight="1">
      <x:c r="A382" s="2" t="str">
        <x:v>B15TCPO</x:v>
      </x:c>
      <x:c r="B382" s="2" t="str">
        <x:v>B15TCPO</x:v>
      </x:c>
      <x:c r="C382" s="7" t="n">
        <x:v>126.44447258150663</x:v>
      </x:c>
      <x:c r="D382" s="8" t="n">
        <x:f>ROUND(C382,2)</x:f>
        <x:v>126.44</x:v>
      </x:c>
      <x:c r="E382" s="2" t="str">
        <x:v>Rythern Master Price Sheet.xlsx | MASTER PRICE SHEET!I385</x:v>
      </x:c>
      <x:c r="F382" s="2"/>
      <x:c r="G382" s="2"/>
      <x:c r="H382" s="2"/>
    </x:row>
    <x:row r="383" ht="21" customHeight="1">
      <x:c r="A383" s="2" t="str">
        <x:v>B15TD</x:v>
      </x:c>
      <x:c r="B383" s="2" t="str">
        <x:v>B15TD</x:v>
      </x:c>
      <x:c r="C383" s="7" t="n">
        <x:v>104.60687073641374</x:v>
      </x:c>
      <x:c r="D383" s="8" t="n">
        <x:f>ROUND(C383,2)</x:f>
        <x:v>104.61</x:v>
      </x:c>
      <x:c r="E383" s="2" t="str">
        <x:v>Rythern Master Price Sheet.xlsx | MASTER PRICE SHEET!I386</x:v>
      </x:c>
      <x:c r="F383" s="2"/>
      <x:c r="G383" s="2"/>
      <x:c r="H383" s="2"/>
    </x:row>
    <x:row r="384" ht="21" customHeight="1">
      <x:c r="A384" s="2" t="str">
        <x:v>B181RS</x:v>
      </x:c>
      <x:c r="B384" s="2" t="str">
        <x:v>B181RS</x:v>
      </x:c>
      <x:c r="C384" s="7" t="n">
        <x:v>122.64635654994427</x:v>
      </x:c>
      <x:c r="D384" s="8" t="n">
        <x:f>ROUND(C384,2)</x:f>
        <x:v>122.65</x:v>
      </x:c>
      <x:c r="E384" s="2" t="str">
        <x:v>Rythern Master Price Sheet.xlsx | MASTER PRICE SHEET!I387</x:v>
      </x:c>
      <x:c r="F384" s="2"/>
      <x:c r="G384" s="2"/>
      <x:c r="H384" s="2"/>
    </x:row>
    <x:row r="385" ht="21" customHeight="1">
      <x:c r="A385" s="2" t="str">
        <x:v>B182RS</x:v>
      </x:c>
      <x:c r="B385" s="2" t="str">
        <x:v>B182RS</x:v>
      </x:c>
      <x:c r="C385" s="7" t="n">
        <x:v>139.38335540979696</x:v>
      </x:c>
      <x:c r="D385" s="8" t="n">
        <x:f>ROUND(C385,2)</x:f>
        <x:v>139.38</x:v>
      </x:c>
      <x:c r="E385" s="2" t="str">
        <x:v>Rythern Master Price Sheet.xlsx | MASTER PRICE SHEET!I388</x:v>
      </x:c>
      <x:c r="F385" s="2"/>
      <x:c r="G385" s="2"/>
      <x:c r="H385" s="2"/>
    </x:row>
    <x:row r="386" ht="21" customHeight="1">
      <x:c r="A386" s="2" t="str">
        <x:v>B18FH</x:v>
      </x:c>
      <x:c r="B386" s="2" t="str">
        <x:v>B18FH</x:v>
      </x:c>
      <x:c r="C386" s="7" t="n">
        <x:v>90.80569322936744</x:v>
      </x:c>
      <x:c r="D386" s="8" t="n">
        <x:f>ROUND(C386,2)</x:f>
        <x:v>90.81</x:v>
      </x:c>
      <x:c r="E386" s="2" t="str">
        <x:v>Rythern Master Price Sheet.xlsx | MASTER PRICE SHEET!I389</x:v>
      </x:c>
      <x:c r="F386" s="2"/>
      <x:c r="G386" s="2"/>
      <x:c r="H386" s="2"/>
    </x:row>
    <x:row r="387" ht="21" customHeight="1">
      <x:c r="A387" s="2" t="str">
        <x:v>B18FH1RS</x:v>
      </x:c>
      <x:c r="B387" s="2" t="str">
        <x:v>B18FH1RS</x:v>
      </x:c>
      <x:c r="C387" s="7" t="n">
        <x:v>94.96446229299163</x:v>
      </x:c>
      <x:c r="D387" s="8" t="n">
        <x:f>ROUND(C387,2)</x:f>
        <x:v>94.96</x:v>
      </x:c>
      <x:c r="E387" s="2" t="str">
        <x:v>Rythern Master Price Sheet.xlsx | MASTER PRICE SHEET!I390</x:v>
      </x:c>
      <x:c r="F387" s="2"/>
      <x:c r="G387" s="2"/>
      <x:c r="H387" s="2"/>
    </x:row>
    <x:row r="388" ht="21" customHeight="1">
      <x:c r="A388" s="2" t="str">
        <x:v>B18FH2RS</x:v>
      </x:c>
      <x:c r="B388" s="2" t="str">
        <x:v>B18FH2RS</x:v>
      </x:c>
      <x:c r="C388" s="7" t="n">
        <x:v>111.70146115284452</x:v>
      </x:c>
      <x:c r="D388" s="8" t="n">
        <x:f>ROUND(C388,2)</x:f>
        <x:v>111.7</x:v>
      </x:c>
      <x:c r="E388" s="2" t="str">
        <x:v>Rythern Master Price Sheet.xlsx | MASTER PRICE SHEET!I391</x:v>
      </x:c>
      <x:c r="F388" s="2"/>
      <x:c r="G388" s="2"/>
      <x:c r="H388" s="2"/>
    </x:row>
    <x:row r="389" ht="21" customHeight="1">
      <x:c r="A389" s="2" t="str">
        <x:v>B18FH3RS</x:v>
      </x:c>
      <x:c r="B389" s="2" t="str">
        <x:v>B18FH3RS</x:v>
      </x:c>
      <x:c r="C389" s="7" t="n">
        <x:v>128.97036092147638</x:v>
      </x:c>
      <x:c r="D389" s="8" t="n">
        <x:f>ROUND(C389,2)</x:f>
        <x:v>128.97</x:v>
      </x:c>
      <x:c r="E389" s="2" t="str">
        <x:v>Rythern Master Price Sheet.xlsx | MASTER PRICE SHEET!I392</x:v>
      </x:c>
      <x:c r="F389" s="2"/>
      <x:c r="G389" s="2"/>
      <x:c r="H389" s="2"/>
    </x:row>
    <x:row r="390" ht="21" customHeight="1">
      <x:c r="A390" s="2" t="str">
        <x:v>B18FHTCPO</x:v>
      </x:c>
      <x:c r="B390" s="2" t="str">
        <x:v>B18FHTCPO</x:v>
      </x:c>
      <x:c r="C390" s="7" t="n">
        <x:v>108.42570318587231</x:v>
      </x:c>
      <x:c r="D390" s="8" t="n">
        <x:f>ROUND(C390,2)</x:f>
        <x:v>108.43</x:v>
      </x:c>
      <x:c r="E390" s="2" t="str">
        <x:v>Rythern Master Price Sheet.xlsx | MASTER PRICE SHEET!I393</x:v>
      </x:c>
      <x:c r="F390" s="2"/>
      <x:c r="G390" s="2"/>
      <x:c r="H390" s="2"/>
    </x:row>
    <x:row r="391" ht="21" customHeight="1">
      <x:c r="A391" s="2" t="str">
        <x:v>B18FHTD</x:v>
      </x:c>
      <x:c r="B391" s="2" t="str">
        <x:v>B18FHTD</x:v>
      </x:c>
      <x:c r="C391" s="7" t="n">
        <x:v>84.12164671413944</x:v>
      </x:c>
      <x:c r="D391" s="8" t="n">
        <x:f>ROUND(C391,2)</x:f>
        <x:v>84.12</x:v>
      </x:c>
      <x:c r="E391" s="2" t="str">
        <x:v>Rythern Master Price Sheet.xlsx | MASTER PRICE SHEET!I394</x:v>
      </x:c>
      <x:c r="F391" s="2"/>
      <x:c r="G391" s="2"/>
      <x:c r="H391" s="2"/>
    </x:row>
    <x:row r="392" ht="21" customHeight="1">
      <x:c r="A392" s="2" t="str">
        <x:v>B18TCPO</x:v>
      </x:c>
      <x:c r="B392" s="2" t="str">
        <x:v>B18TCPO</x:v>
      </x:c>
      <x:c r="C392" s="7" t="n">
        <x:v>136.63214912914998</x:v>
      </x:c>
      <x:c r="D392" s="8" t="n">
        <x:f>ROUND(C392,2)</x:f>
        <x:v>136.63</x:v>
      </x:c>
      <x:c r="E392" s="2" t="str">
        <x:v>Rythern Master Price Sheet.xlsx | MASTER PRICE SHEET!I395</x:v>
      </x:c>
      <x:c r="F392" s="2"/>
      <x:c r="G392" s="2"/>
      <x:c r="H392" s="2"/>
    </x:row>
    <x:row r="393" ht="21" customHeight="1">
      <x:c r="A393" s="2" t="str">
        <x:v>B18TD</x:v>
      </x:c>
      <x:c r="B393" s="2" t="str">
        <x:v>B18TD</x:v>
      </x:c>
      <x:c r="C393" s="7" t="n">
        <x:v>112.32809265741739</x:v>
      </x:c>
      <x:c r="D393" s="8" t="n">
        <x:f>ROUND(C393,2)</x:f>
        <x:v>112.33</x:v>
      </x:c>
      <x:c r="E393" s="2" t="str">
        <x:v>Rythern Master Price Sheet.xlsx | MASTER PRICE SHEET!I396</x:v>
      </x:c>
      <x:c r="F393" s="2"/>
      <x:c r="G393" s="2"/>
      <x:c r="H393" s="2"/>
    </x:row>
    <x:row r="394" ht="21" customHeight="1">
      <x:c r="A394" s="2" t="str">
        <x:v>B211RS</x:v>
      </x:c>
      <x:c r="B394" s="2" t="str">
        <x:v>B211RS</x:v>
      </x:c>
      <x:c r="C394" s="7" t="n">
        <x:v>132.11472210074862</x:v>
      </x:c>
      <x:c r="D394" s="8" t="n">
        <x:f>ROUND(C394,2)</x:f>
        <x:v>132.11</x:v>
      </x:c>
      <x:c r="E394" s="2" t="str">
        <x:v>Rythern Master Price Sheet.xlsx | MASTER PRICE SHEET!I397</x:v>
      </x:c>
      <x:c r="F394" s="2"/>
      <x:c r="G394" s="2"/>
      <x:c r="H394" s="2"/>
    </x:row>
    <x:row r="395" ht="21" customHeight="1">
      <x:c r="A395" s="2" t="str">
        <x:v>B212RS</x:v>
      </x:c>
      <x:c r="B395" s="2" t="str">
        <x:v>B212RS</x:v>
      </x:c>
      <x:c r="C395" s="7" t="n">
        <x:v>150.11092535691088</x:v>
      </x:c>
      <x:c r="D395" s="8" t="n">
        <x:f>ROUND(C395,2)</x:f>
        <x:v>150.11</x:v>
      </x:c>
      <x:c r="E395" s="2" t="str">
        <x:v>Rythern Master Price Sheet.xlsx | MASTER PRICE SHEET!I398</x:v>
      </x:c>
      <x:c r="F395" s="2"/>
      <x:c r="G395" s="2"/>
      <x:c r="H395" s="2"/>
    </x:row>
    <x:row r="396" ht="21" customHeight="1">
      <x:c r="A396" s="2" t="str">
        <x:v>B21FH</x:v>
      </x:c>
      <x:c r="B396" s="2" t="str">
        <x:v>B21FH</x:v>
      </x:c>
      <x:c r="C396" s="7" t="n">
        <x:v>83.45889550792161</x:v>
      </x:c>
      <x:c r="D396" s="8" t="n">
        <x:f>ROUND(C396,2)</x:f>
        <x:v>83.46</x:v>
      </x:c>
      <x:c r="E396" s="2" t="str">
        <x:v>Rythern Master Price Sheet.xlsx | MASTER PRICE SHEET!I399</x:v>
      </x:c>
      <x:c r="F396" s="2"/>
      <x:c r="G396" s="2"/>
      <x:c r="H396" s="2"/>
    </x:row>
    <x:row r="397" ht="21" customHeight="1">
      <x:c r="A397" s="2" t="str">
        <x:v>B21FH1RS</x:v>
      </x:c>
      <x:c r="B397" s="2" t="str">
        <x:v>B21FH1RS</x:v>
      </x:c>
      <x:c r="C397" s="7" t="n">
        <x:v>101.97965045040891</x:v>
      </x:c>
      <x:c r="D397" s="8" t="n">
        <x:f>ROUND(C397,2)</x:f>
        <x:v>101.98</x:v>
      </x:c>
      <x:c r="E397" s="2" t="str">
        <x:v>Rythern Master Price Sheet.xlsx | MASTER PRICE SHEET!I400</x:v>
      </x:c>
      <x:c r="F397" s="2"/>
      <x:c r="G397" s="2"/>
      <x:c r="H397" s="2"/>
    </x:row>
    <x:row r="398" ht="21" customHeight="1">
      <x:c r="A398" s="2" t="str">
        <x:v>B21FH2RS</x:v>
      </x:c>
      <x:c r="B398" s="2" t="str">
        <x:v>B21FH2RS</x:v>
      </x:c>
      <x:c r="C398" s="7" t="n">
        <x:v>119.97585370657089</x:v>
      </x:c>
      <x:c r="D398" s="8" t="n">
        <x:f>ROUND(C398,2)</x:f>
        <x:v>119.98</x:v>
      </x:c>
      <x:c r="E398" s="2" t="str">
        <x:v>Rythern Master Price Sheet.xlsx | MASTER PRICE SHEET!I401</x:v>
      </x:c>
      <x:c r="F398" s="2"/>
      <x:c r="G398" s="2"/>
      <x:c r="H398" s="2"/>
    </x:row>
    <x:row r="399" ht="21" customHeight="1">
      <x:c r="A399" s="2" t="str">
        <x:v>B21FH3RS</x:v>
      </x:c>
      <x:c r="B399" s="2" t="str">
        <x:v>B21FH3RS</x:v>
      </x:c>
      <x:c r="C399" s="7" t="n">
        <x:v>138.50395787151172</x:v>
      </x:c>
      <x:c r="D399" s="8" t="n">
        <x:f>ROUND(C399,2)</x:f>
        <x:v>138.5</x:v>
      </x:c>
      <x:c r="E399" s="2" t="str">
        <x:v>Rythern Master Price Sheet.xlsx | MASTER PRICE SHEET!I402</x:v>
      </x:c>
      <x:c r="F399" s="2"/>
      <x:c r="G399" s="2"/>
      <x:c r="H399" s="2"/>
    </x:row>
    <x:row r="400" ht="21" customHeight="1">
      <x:c r="A400" s="2" t="str">
        <x:v>B21FHTCPO</x:v>
      </x:c>
      <x:c r="B400" s="2" t="str">
        <x:v>B21FHTCPO</x:v>
      </x:c>
      <x:c r="C400" s="7" t="n">
        <x:v>116.64814157362036</x:v>
      </x:c>
      <x:c r="D400" s="8" t="n">
        <x:f>ROUND(C400,2)</x:f>
        <x:v>116.65</x:v>
      </x:c>
      <x:c r="E400" s="2" t="str">
        <x:v>Rythern Master Price Sheet.xlsx | MASTER PRICE SHEET!I403</x:v>
      </x:c>
      <x:c r="F400" s="2"/>
      <x:c r="G400" s="2"/>
      <x:c r="H400" s="2"/>
    </x:row>
    <x:row r="401" ht="21" customHeight="1">
      <x:c r="A401" s="2" t="str">
        <x:v>B21TCPO</x:v>
      </x:c>
      <x:c r="B401" s="2" t="str">
        <x:v>B21TCPO</x:v>
      </x:c>
      <x:c r="C401" s="7" t="n">
        <x:v>146.78321322395976</x:v>
      </x:c>
      <x:c r="D401" s="8" t="n">
        <x:f>ROUND(C401,2)</x:f>
        <x:v>146.78</x:v>
      </x:c>
      <x:c r="E401" s="2" t="str">
        <x:v>Rythern Master Price Sheet.xlsx | MASTER PRICE SHEET!I404</x:v>
      </x:c>
      <x:c r="F401" s="2"/>
      <x:c r="G401" s="2"/>
      <x:c r="H401" s="2"/>
    </x:row>
    <x:row r="402" ht="21" customHeight="1">
      <x:c r="A402" s="2" t="str">
        <x:v>B241RS</x:v>
      </x:c>
      <x:c r="B402" s="2" t="str">
        <x:v>B241RS</x:v>
      </x:c>
      <x:c r="C402" s="7" t="n">
        <x:v>144.97963924938867</x:v>
      </x:c>
      <x:c r="D402" s="8" t="n">
        <x:f>ROUND(C402,2)</x:f>
        <x:v>144.98</x:v>
      </x:c>
      <x:c r="E402" s="2" t="str">
        <x:v>Rythern Master Price Sheet.xlsx | MASTER PRICE SHEET!I405</x:v>
      </x:c>
      <x:c r="F402" s="2"/>
      <x:c r="G402" s="2"/>
      <x:c r="H402" s="2"/>
    </x:row>
    <x:row r="403" ht="21" customHeight="1">
      <x:c r="A403" s="2" t="str">
        <x:v>B242RS</x:v>
      </x:c>
      <x:c r="B403" s="2" t="str">
        <x:v>B242RS</x:v>
      </x:c>
      <x:c r="C403" s="7" t="n">
        <x:v>164.21254582927384</x:v>
      </x:c>
      <x:c r="D403" s="8" t="n">
        <x:f>ROUND(C403,2)</x:f>
        <x:v>164.21</x:v>
      </x:c>
      <x:c r="E403" s="2" t="str">
        <x:v>Rythern Master Price Sheet.xlsx | MASTER PRICE SHEET!I406</x:v>
      </x:c>
      <x:c r="F403" s="2"/>
      <x:c r="G403" s="2"/>
      <x:c r="H403" s="2"/>
    </x:row>
    <x:row r="404" ht="21" customHeight="1">
      <x:c r="A404" s="2" t="str">
        <x:v>B24FH</x:v>
      </x:c>
      <x:c r="B404" s="2" t="str">
        <x:v>B24FH</x:v>
      </x:c>
      <x:c r="C404" s="7" t="n">
        <x:v>93.9168511301715</x:v>
      </x:c>
      <x:c r="D404" s="8" t="n">
        <x:f>ROUND(C404,2)</x:f>
        <x:v>93.92</x:v>
      </x:c>
      <x:c r="E404" s="2" t="str">
        <x:v>Rythern Master Price Sheet.xlsx | MASTER PRICE SHEET!I407</x:v>
      </x:c>
      <x:c r="F404" s="2"/>
      <x:c r="G404" s="2"/>
      <x:c r="H404" s="2"/>
    </x:row>
    <x:row r="405" ht="21" customHeight="1">
      <x:c r="A405" s="2" t="str">
        <x:v>B24FH1RS</x:v>
      </x:c>
      <x:c r="B405" s="2" t="str">
        <x:v>B24FH1RS</x:v>
      </x:c>
      <x:c r="C405" s="7" t="n">
        <x:v>113.67430939638291</x:v>
      </x:c>
      <x:c r="D405" s="8" t="n">
        <x:f>ROUND(C405,2)</x:f>
        <x:v>113.67</x:v>
      </x:c>
      <x:c r="E405" s="2" t="str">
        <x:v>Rythern Master Price Sheet.xlsx | MASTER PRICE SHEET!I408</x:v>
      </x:c>
      <x:c r="F405" s="2"/>
      <x:c r="G405" s="2"/>
      <x:c r="H405" s="2"/>
    </x:row>
    <x:row r="406" ht="21" customHeight="1">
      <x:c r="A406" s="2" t="str">
        <x:v>B24FH2RS</x:v>
      </x:c>
      <x:c r="B406" s="2" t="str">
        <x:v>B24FH2RS</x:v>
      </x:c>
      <x:c r="C406" s="7" t="n">
        <x:v>132.90721597626944</x:v>
      </x:c>
      <x:c r="D406" s="8" t="n">
        <x:f>ROUND(C406,2)</x:f>
        <x:v>132.91</x:v>
      </x:c>
      <x:c r="E406" s="2" t="str">
        <x:v>Rythern Master Price Sheet.xlsx | MASTER PRICE SHEET!I409</x:v>
      </x:c>
      <x:c r="F406" s="2"/>
      <x:c r="G406" s="2"/>
      <x:c r="H406" s="2"/>
    </x:row>
    <x:row r="407" ht="21" customHeight="1">
      <x:c r="A407" s="2" t="str">
        <x:v>B24FH3RS</x:v>
      </x:c>
      <x:c r="B407" s="2" t="str">
        <x:v>B24FH3RS</x:v>
      </x:c>
      <x:c r="C407" s="7" t="n">
        <x:v>152.67202346493454</x:v>
      </x:c>
      <x:c r="D407" s="8" t="n">
        <x:f>ROUND(C407,2)</x:f>
        <x:v>152.67</x:v>
      </x:c>
      <x:c r="E407" s="2" t="str">
        <x:v>Rythern Master Price Sheet.xlsx | MASTER PRICE SHEET!I410</x:v>
      </x:c>
      <x:c r="F407" s="2"/>
      <x:c r="G407" s="2"/>
      <x:c r="H407" s="2"/>
    </x:row>
    <x:row r="408" ht="21" customHeight="1">
      <x:c r="A408" s="2" t="str">
        <x:v>B271RS</x:v>
      </x:c>
      <x:c r="B408" s="2" t="str">
        <x:v>B271RS</x:v>
      </x:c>
      <x:c r="C408" s="7" t="n">
        <x:v>154.2622273290249</x:v>
      </x:c>
      <x:c r="D408" s="8" t="n">
        <x:f>ROUND(C408,2)</x:f>
        <x:v>154.26</x:v>
      </x:c>
      <x:c r="E408" s="2" t="str">
        <x:v>Rythern Master Price Sheet.xlsx | MASTER PRICE SHEET!I411</x:v>
      </x:c>
      <x:c r="F408" s="2"/>
      <x:c r="G408" s="2"/>
      <x:c r="H408" s="2"/>
    </x:row>
    <x:row r="409" ht="21" customHeight="1">
      <x:c r="A409" s="2" t="str">
        <x:v>B272RS</x:v>
      </x:c>
      <x:c r="B409" s="2" t="str">
        <x:v>B272RS</x:v>
      </x:c>
      <x:c r="C409" s="7" t="n">
        <x:v>174.68654930958093</x:v>
      </x:c>
      <x:c r="D409" s="8" t="n">
        <x:f>ROUND(C409,2)</x:f>
        <x:v>174.69</x:v>
      </x:c>
      <x:c r="E409" s="2" t="str">
        <x:v>Rythern Master Price Sheet.xlsx | MASTER PRICE SHEET!I412</x:v>
      </x:c>
      <x:c r="F409" s="2"/>
      <x:c r="G409" s="2"/>
      <x:c r="H409" s="2"/>
    </x:row>
    <x:row r="410" ht="21" customHeight="1">
      <x:c r="A410" s="2" t="str">
        <x:v>B27FH</x:v>
      </x:c>
      <x:c r="B410" s="2" t="str">
        <x:v>B27FH</x:v>
      </x:c>
      <x:c r="C410" s="7" t="n">
        <x:v>100.14718709771482</x:v>
      </x:c>
      <x:c r="D410" s="8" t="n">
        <x:f>ROUND(C410,2)</x:f>
        <x:v>100.15</x:v>
      </x:c>
      <x:c r="E410" s="2" t="str">
        <x:v>Rythern Master Price Sheet.xlsx | MASTER PRICE SHEET!I413</x:v>
      </x:c>
      <x:c r="F410" s="2"/>
      <x:c r="G410" s="2"/>
      <x:c r="H410" s="2"/>
    </x:row>
    <x:row r="411" ht="21" customHeight="1">
      <x:c r="A411" s="2" t="str">
        <x:v>B27FH1RS</x:v>
      </x:c>
      <x:c r="B411" s="2" t="str">
        <x:v>B27FH1RS</x:v>
      </x:c>
      <x:c r="C411" s="7" t="n">
        <x:v>121.14143158124702</x:v>
      </x:c>
      <x:c r="D411" s="8" t="n">
        <x:f>ROUND(C411,2)</x:f>
        <x:v>121.14</x:v>
      </x:c>
      <x:c r="E411" s="2" t="str">
        <x:v>Rythern Master Price Sheet.xlsx | MASTER PRICE SHEET!I414</x:v>
      </x:c>
      <x:c r="F411" s="2"/>
      <x:c r="G411" s="2"/>
      <x:c r="H411" s="2"/>
    </x:row>
    <x:row r="412" ht="21" customHeight="1">
      <x:c r="A412" s="2" t="str">
        <x:v>B27FH2RS</x:v>
      </x:c>
      <x:c r="B412" s="2" t="str">
        <x:v>B27FH2RS</x:v>
      </x:c>
      <x:c r="C412" s="7" t="n">
        <x:v>141.56575356180343</x:v>
      </x:c>
      <x:c r="D412" s="8" t="n">
        <x:f>ROUND(C412,2)</x:f>
        <x:v>141.57</x:v>
      </x:c>
      <x:c r="E412" s="2" t="str">
        <x:v>Rythern Master Price Sheet.xlsx | MASTER PRICE SHEET!I415</x:v>
      </x:c>
      <x:c r="F412" s="2"/>
      <x:c r="G412" s="2"/>
      <x:c r="H412" s="2"/>
    </x:row>
    <x:row r="413" ht="21" customHeight="1">
      <x:c r="A413" s="2" t="str">
        <x:v>B27FH3RS</x:v>
      </x:c>
      <x:c r="B413" s="2" t="str">
        <x:v>B27FH3RS</x:v>
      </x:c>
      <x:c r="C413" s="7" t="n">
        <x:v>162.5673472677895</x:v>
      </x:c>
      <x:c r="D413" s="8" t="n">
        <x:f>ROUND(C413,2)</x:f>
        <x:v>162.57</x:v>
      </x:c>
      <x:c r="E413" s="2" t="str">
        <x:v>Rythern Master Price Sheet.xlsx | MASTER PRICE SHEET!I416</x:v>
      </x:c>
      <x:c r="F413" s="2"/>
      <x:c r="G413" s="2"/>
      <x:c r="H413" s="2"/>
    </x:row>
    <x:row r="414" ht="21" customHeight="1">
      <x:c r="A414" s="2" t="str">
        <x:v>B30FH</x:v>
      </x:c>
      <x:c r="B414" s="2" t="str">
        <x:v>B30FH</x:v>
      </x:c>
      <x:c r="C414" s="7" t="n">
        <x:v>107.46507803320284</x:v>
      </x:c>
      <x:c r="D414" s="8" t="n">
        <x:f>ROUND(C414,2)</x:f>
        <x:v>107.47</x:v>
      </x:c>
      <x:c r="E414" s="2" t="str">
        <x:v>Rythern Master Price Sheet.xlsx | MASTER PRICE SHEET!I417</x:v>
      </x:c>
      <x:c r="F414" s="2"/>
      <x:c r="G414" s="2"/>
      <x:c r="H414" s="2"/>
    </x:row>
    <x:row r="415" ht="21" customHeight="1">
      <x:c r="A415" s="2" t="str">
        <x:v>B30FH1RS</x:v>
      </x:c>
      <x:c r="B415" s="2" t="str">
        <x:v>B30FH1RS</x:v>
      </x:c>
      <x:c r="C415" s="7" t="n">
        <x:v>136.7974067714045</x:v>
      </x:c>
      <x:c r="D415" s="8" t="n">
        <x:f>ROUND(C415,2)</x:f>
        <x:v>136.8</x:v>
      </x:c>
      <x:c r="E415" s="2" t="str">
        <x:v>Rythern Master Price Sheet.xlsx | MASTER PRICE SHEET!I418</x:v>
      </x:c>
      <x:c r="F415" s="2"/>
      <x:c r="G415" s="2"/>
      <x:c r="H415" s="2"/>
    </x:row>
    <x:row r="416" ht="21" customHeight="1">
      <x:c r="A416" s="2" t="str">
        <x:v>B30FH2RS</x:v>
      </x:c>
      <x:c r="B416" s="2" t="str">
        <x:v>B30FH2RS</x:v>
      </x:c>
      <x:c r="C416" s="7" t="n">
        <x:v>165.51444218997898</x:v>
      </x:c>
      <x:c r="D416" s="8" t="n">
        <x:f>ROUND(C416,2)</x:f>
        <x:v>165.51</x:v>
      </x:c>
      <x:c r="E416" s="2" t="str">
        <x:v>Rythern Master Price Sheet.xlsx | MASTER PRICE SHEET!I419</x:v>
      </x:c>
      <x:c r="F416" s="2"/>
      <x:c r="G416" s="2"/>
      <x:c r="H416" s="2"/>
    </x:row>
    <x:row r="417" ht="21" customHeight="1">
      <x:c r="A417" s="2" t="str">
        <x:v>B30FH3RS</x:v>
      </x:c>
      <x:c r="B417" s="2" t="str">
        <x:v>B30FH3RS</x:v>
      </x:c>
      <x:c r="C417" s="7" t="n">
        <x:v>194.85412015063415</x:v>
      </x:c>
      <x:c r="D417" s="8" t="n">
        <x:f>ROUND(C417,2)</x:f>
        <x:v>194.85</x:v>
      </x:c>
      <x:c r="E417" s="2" t="str">
        <x:v>Rythern Master Price Sheet.xlsx | MASTER PRICE SHEET!I420</x:v>
      </x:c>
      <x:c r="F417" s="2"/>
      <x:c r="G417" s="2"/>
      <x:c r="H417" s="2"/>
    </x:row>
    <x:row r="418" ht="21" customHeight="1">
      <x:c r="A418" s="2" t="str">
        <x:v>B30S1RS</x:v>
      </x:c>
      <x:c r="B418" s="2" t="str">
        <x:v>B30S1RS</x:v>
      </x:c>
      <x:c r="C418" s="7" t="n">
        <x:v>166.20673094348314</x:v>
      </x:c>
      <x:c r="D418" s="8" t="n">
        <x:f>ROUND(C418,2)</x:f>
        <x:v>166.21</x:v>
      </x:c>
      <x:c r="E418" s="2" t="str">
        <x:v>Rythern Master Price Sheet.xlsx | MASTER PRICE SHEET!I421</x:v>
      </x:c>
      <x:c r="F418" s="2"/>
      <x:c r="G418" s="2"/>
      <x:c r="H418" s="2"/>
    </x:row>
    <x:row r="419" ht="21" customHeight="1">
      <x:c r="A419" s="2" t="str">
        <x:v>B30S2RS</x:v>
      </x:c>
      <x:c r="B419" s="2" t="str">
        <x:v>B30S2RS</x:v>
      </x:c>
      <x:c r="C419" s="7" t="n">
        <x:v>188.60404131578272</x:v>
      </x:c>
      <x:c r="D419" s="8" t="n">
        <x:f>ROUND(C419,2)</x:f>
        <x:v>188.6</x:v>
      </x:c>
      <x:c r="E419" s="2" t="str">
        <x:v>Rythern Master Price Sheet.xlsx | MASTER PRICE SHEET!I422</x:v>
      </x:c>
      <x:c r="F419" s="2"/>
      <x:c r="G419" s="2"/>
      <x:c r="H419" s="2"/>
    </x:row>
    <x:row r="420" ht="21" customHeight="1">
      <x:c r="A420" s="2" t="str">
        <x:v>B331RS</x:v>
      </x:c>
      <x:c r="B420" s="2" t="str">
        <x:v>B331RS</x:v>
      </x:c>
      <x:c r="C420" s="7" t="n">
        <x:v>193.4910861617372</x:v>
      </x:c>
      <x:c r="D420" s="8" t="n">
        <x:f>ROUND(C420,2)</x:f>
        <x:v>193.49</x:v>
      </x:c>
      <x:c r="E420" s="2" t="str">
        <x:v>Rythern Master Price Sheet.xlsx | MASTER PRICE SHEET!I423</x:v>
      </x:c>
      <x:c r="F420" s="2"/>
      <x:c r="G420" s="2"/>
      <x:c r="H420" s="2"/>
    </x:row>
    <x:row r="421" ht="21" customHeight="1">
      <x:c r="A421" s="2" t="str">
        <x:v>B332RS</x:v>
      </x:c>
      <x:c r="B421" s="2" t="str">
        <x:v>B332RS</x:v>
      </x:c>
      <x:c r="C421" s="7" t="n">
        <x:v>217.20201995890852</x:v>
      </x:c>
      <x:c r="D421" s="8" t="n">
        <x:f>ROUND(C421,2)</x:f>
        <x:v>217.2</x:v>
      </x:c>
      <x:c r="E421" s="2" t="str">
        <x:v>Rythern Master Price Sheet.xlsx | MASTER PRICE SHEET!I424</x:v>
      </x:c>
      <x:c r="F421" s="2"/>
      <x:c r="G421" s="2"/>
      <x:c r="H421" s="2"/>
    </x:row>
    <x:row r="422" ht="21" customHeight="1">
      <x:c r="A422" s="2" t="str">
        <x:v>B33FH</x:v>
      </x:c>
      <x:c r="B422" s="2" t="str">
        <x:v>B33FH</x:v>
      </x:c>
      <x:c r="C422" s="7" t="n">
        <x:v>113.69541400074617</x:v>
      </x:c>
      <x:c r="D422" s="8" t="n">
        <x:f>ROUND(C422,2)</x:f>
        <x:v>113.7</x:v>
      </x:c>
      <x:c r="E422" s="2" t="str">
        <x:v>Rythern Master Price Sheet.xlsx | MASTER PRICE SHEET!I425</x:v>
      </x:c>
      <x:c r="F422" s="2"/>
      <x:c r="G422" s="2"/>
      <x:c r="H422" s="2"/>
    </x:row>
    <x:row r="423" ht="21" customHeight="1">
      <x:c r="A423" s="2" t="str">
        <x:v>B33FH1RS</x:v>
      </x:c>
      <x:c r="B423" s="2" t="str">
        <x:v>B33FH1RS</x:v>
      </x:c>
      <x:c r="C423" s="7" t="n">
        <x:v>144.3867369804713</x:v>
      </x:c>
      <x:c r="D423" s="8" t="n">
        <x:f>ROUND(C423,2)</x:f>
        <x:v>144.39</x:v>
      </x:c>
      <x:c r="E423" s="2" t="str">
        <x:v>Rythern Master Price Sheet.xlsx | MASTER PRICE SHEET!I426</x:v>
      </x:c>
      <x:c r="F423" s="2"/>
      <x:c r="G423" s="2"/>
      <x:c r="H423" s="2"/>
    </x:row>
    <x:row r="424" ht="21" customHeight="1">
      <x:c r="A424" s="2" t="str">
        <x:v>B33FH2RS</x:v>
      </x:c>
      <x:c r="B424" s="2" t="str">
        <x:v>B33FH2RS</x:v>
      </x:c>
      <x:c r="C424" s="7" t="n">
        <x:v>174.41739582391895</x:v>
      </x:c>
      <x:c r="D424" s="8" t="n">
        <x:f>ROUND(C424,2)</x:f>
        <x:v>174.42</x:v>
      </x:c>
      <x:c r="E424" s="2" t="str">
        <x:v>Rythern Master Price Sheet.xlsx | MASTER PRICE SHEET!I427</x:v>
      </x:c>
      <x:c r="F424" s="2"/>
      <x:c r="G424" s="2"/>
      <x:c r="H424" s="2"/>
    </x:row>
    <x:row r="425" ht="21" customHeight="1">
      <x:c r="A425" s="2" t="str">
        <x:v>B33FH3RS</x:v>
      </x:c>
      <x:c r="B425" s="2" t="str">
        <x:v>B33FH3RS</x:v>
      </x:c>
      <x:c r="C425" s="7" t="n">
        <x:v>205.11606802609754</x:v>
      </x:c>
      <x:c r="D425" s="8" t="n">
        <x:f>ROUND(C425,2)</x:f>
        <x:v>205.12</x:v>
      </x:c>
      <x:c r="E425" s="2" t="str">
        <x:v>Rythern Master Price Sheet.xlsx | MASTER PRICE SHEET!I428</x:v>
      </x:c>
      <x:c r="F425" s="2"/>
      <x:c r="G425" s="2"/>
      <x:c r="H425" s="2"/>
    </x:row>
    <x:row r="426" ht="21" customHeight="1">
      <x:c r="A426" s="2" t="str">
        <x:v>B361RS</x:v>
      </x:c>
      <x:c r="B426" s="2" t="str">
        <x:v>B361RS</x:v>
      </x:c>
      <x:c r="C426" s="7" t="n">
        <x:v>203.09456676119322</x:v>
      </x:c>
      <x:c r="D426" s="8" t="n">
        <x:f>ROUND(C426,2)</x:f>
        <x:v>203.09</x:v>
      </x:c>
      <x:c r="E426" s="2" t="str">
        <x:v>Rythern Master Price Sheet.xlsx | MASTER PRICE SHEET!I429</x:v>
      </x:c>
      <x:c r="F426" s="2"/>
      <x:c r="G426" s="2"/>
      <x:c r="H426" s="2"/>
    </x:row>
    <x:row r="427" ht="21" customHeight="1">
      <x:c r="A427" s="2" t="str">
        <x:v>B362RS</x:v>
      </x:c>
      <x:c r="B427" s="2" t="str">
        <x:v>B362RS</x:v>
      </x:c>
      <x:c r="C427" s="7" t="n">
        <x:v>228.2049684259818</x:v>
      </x:c>
      <x:c r="D427" s="8" t="n">
        <x:f>ROUND(C427,2)</x:f>
        <x:v>228.2</x:v>
      </x:c>
      <x:c r="E427" s="2" t="str">
        <x:v>Rythern Master Price Sheet.xlsx | MASTER PRICE SHEET!I430</x:v>
      </x:c>
      <x:c r="F427" s="2"/>
      <x:c r="G427" s="2"/>
      <x:c r="H427" s="2"/>
    </x:row>
    <x:row r="428" ht="21" customHeight="1">
      <x:c r="A428" s="2" t="str">
        <x:v>B36FH</x:v>
      </x:c>
      <x:c r="B428" s="2" t="str">
        <x:v>B36FH</x:v>
      </x:c>
      <x:c r="C428" s="7" t="n">
        <x:v>119.92574996828947</x:v>
      </x:c>
      <x:c r="D428" s="8" t="n">
        <x:f>ROUND(C428,2)</x:f>
        <x:v>119.93</x:v>
      </x:c>
      <x:c r="E428" s="2" t="str">
        <x:v>Rythern Master Price Sheet.xlsx | MASTER PRICE SHEET!I431</x:v>
      </x:c>
      <x:c r="F428" s="2"/>
      <x:c r="G428" s="2"/>
      <x:c r="H428" s="2"/>
    </x:row>
    <x:row r="429" ht="21" customHeight="1">
      <x:c r="A429" s="2" t="str">
        <x:v>B36FH1RS</x:v>
      </x:c>
      <x:c r="B429" s="2" t="str">
        <x:v>B36FH1RS</x:v>
      </x:c>
      <x:c r="C429" s="7" t="n">
        <x:v>152.06191163227984</x:v>
      </x:c>
      <x:c r="D429" s="8" t="n">
        <x:f>ROUND(C429,2)</x:f>
        <x:v>152.06</x:v>
      </x:c>
      <x:c r="E429" s="2" t="str">
        <x:v>Rythern Master Price Sheet.xlsx | MASTER PRICE SHEET!I432</x:v>
      </x:c>
      <x:c r="F429" s="2"/>
      <x:c r="G429" s="2"/>
      <x:c r="H429" s="2"/>
    </x:row>
    <x:row r="430" ht="21" customHeight="1">
      <x:c r="A430" s="2" t="str">
        <x:v>B36FH2RS</x:v>
      </x:c>
      <x:c r="B430" s="2" t="str">
        <x:v>B36FH2RS</x:v>
      </x:c>
      <x:c r="C430" s="7" t="n">
        <x:v>183.49203834334384</x:v>
      </x:c>
      <x:c r="D430" s="8" t="n">
        <x:f>ROUND(C430,2)</x:f>
        <x:v>183.49</x:v>
      </x:c>
      <x:c r="E430" s="2" t="str">
        <x:v>Rythern Master Price Sheet.xlsx | MASTER PRICE SHEET!I433</x:v>
      </x:c>
      <x:c r="F430" s="2"/>
      <x:c r="G430" s="2"/>
      <x:c r="H430" s="2"/>
    </x:row>
    <x:row r="431" ht="21" customHeight="1">
      <x:c r="A431" s="2" t="str">
        <x:v>B36FH3RS</x:v>
      </x:c>
      <x:c r="B431" s="2" t="str">
        <x:v>B36FH3RS</x:v>
      </x:c>
      <x:c r="C431" s="7" t="n">
        <x:v>214.92216505440703</x:v>
      </x:c>
      <x:c r="D431" s="8" t="n">
        <x:f>ROUND(C431,2)</x:f>
        <x:v>214.92</x:v>
      </x:c>
      <x:c r="E431" s="2" t="str">
        <x:v>Rythern Master Price Sheet.xlsx | MASTER PRICE SHEET!I434</x:v>
      </x:c>
      <x:c r="F431" s="2"/>
      <x:c r="G431" s="2"/>
      <x:c r="H431" s="2"/>
    </x:row>
    <x:row r="432" ht="21" customHeight="1">
      <x:c r="A432" s="2" t="str">
        <x:v>BBC45</x:v>
      </x:c>
      <x:c r="B432" s="2" t="str">
        <x:v>BBC45</x:v>
      </x:c>
      <x:c r="C432" s="7" t="n">
        <x:v>170.00715350534514</x:v>
      </x:c>
      <x:c r="D432" s="8" t="n">
        <x:f>ROUND(C432,2)</x:f>
        <x:v>170.01</x:v>
      </x:c>
      <x:c r="E432" s="2" t="str">
        <x:v>Rythern Master Price Sheet.xlsx | MASTER PRICE SHEET!I435</x:v>
      </x:c>
      <x:c r="F432" s="2"/>
      <x:c r="G432" s="2"/>
      <x:c r="H432" s="2"/>
    </x:row>
    <x:row r="433" ht="21" customHeight="1">
      <x:c r="A433" s="2" t="str">
        <x:v>DCW2415GD</x:v>
      </x:c>
      <x:c r="B433" s="2" t="str">
        <x:v>DCW2415GD</x:v>
      </x:c>
      <x:c r="C433" s="7" t="n">
        <x:v>47.5388277759267</x:v>
      </x:c>
      <x:c r="D433" s="8" t="n">
        <x:f>ROUND(C433,2)</x:f>
        <x:v>47.54</x:v>
      </x:c>
      <x:c r="E433" s="2" t="str">
        <x:v>Rythern Master Price Sheet.xlsx | MASTER PRICE SHEET!I437</x:v>
      </x:c>
      <x:c r="F433" s="2"/>
      <x:c r="G433" s="2"/>
      <x:c r="H433" s="2"/>
    </x:row>
    <x:row r="434" ht="21" customHeight="1">
      <x:c r="A434" s="2" t="str">
        <x:v>DCW2418GD</x:v>
      </x:c>
      <x:c r="B434" s="2" t="str">
        <x:v>DCW2418GD</x:v>
      </x:c>
      <x:c r="C434" s="7" t="n">
        <x:v>52.22925692487931</x:v>
      </x:c>
      <x:c r="D434" s="8" t="n">
        <x:f>ROUND(C434,2)</x:f>
        <x:v>52.23</x:v>
      </x:c>
      <x:c r="E434" s="2" t="str">
        <x:v>Rythern Master Price Sheet.xlsx | MASTER PRICE SHEET!I438</x:v>
      </x:c>
      <x:c r="F434" s="2"/>
      <x:c r="G434" s="2"/>
      <x:c r="H434" s="2"/>
    </x:row>
    <x:row r="435" ht="21" customHeight="1">
      <x:c r="A435" s="2" t="str">
        <x:v>FSB30</x:v>
      </x:c>
      <x:c r="B435" s="2" t="str">
        <x:v>FSB30</x:v>
      </x:c>
      <x:c r="C435" s="7" t="n">
        <x:v>105.05404847956504</x:v>
      </x:c>
      <x:c r="D435" s="8" t="n">
        <x:f>ROUND(C435,2)</x:f>
        <x:v>105.05</x:v>
      </x:c>
      <x:c r="E435" s="2" t="str">
        <x:v>Rythern Master Price Sheet.xlsx | MASTER PRICE SHEET!I441</x:v>
      </x:c>
      <x:c r="F435" s="2"/>
      <x:c r="G435" s="2"/>
      <x:c r="H435" s="2"/>
    </x:row>
    <x:row r="436" ht="21" customHeight="1">
      <x:c r="A436" s="2" t="str">
        <x:v>LSB33</x:v>
      </x:c>
      <x:c r="B436" s="2" t="str">
        <x:v>LSB33</x:v>
      </x:c>
      <x:c r="C436" s="7" t="n">
        <x:v>230.64315365853662</x:v>
      </x:c>
      <x:c r="D436" s="8" t="n">
        <x:f>ROUND(C436,2)</x:f>
        <x:v>230.64</x:v>
      </x:c>
      <x:c r="E436" s="2" t="str">
        <x:v>Rythern Master Price Sheet.xlsx | MASTER PRICE SHEET!I442</x:v>
      </x:c>
      <x:c r="F436" s="2"/>
      <x:c r="G436" s="2"/>
      <x:c r="H436" s="2"/>
    </x:row>
    <x:row r="437" ht="21" customHeight="1">
      <x:c r="A437" s="2" t="str">
        <x:v>LSB36</x:v>
      </x:c>
      <x:c r="B437" s="2" t="str">
        <x:v>LSB36</x:v>
      </x:c>
      <x:c r="C437" s="7" t="n">
        <x:v>248.5865853658537</x:v>
      </x:c>
      <x:c r="D437" s="8" t="n">
        <x:f>ROUND(C437,2)</x:f>
        <x:v>248.59</x:v>
      </x:c>
      <x:c r="E437" s="2" t="str">
        <x:v>Rythern Master Price Sheet.xlsx | MASTER PRICE SHEET!I443</x:v>
      </x:c>
      <x:c r="F437" s="2"/>
      <x:c r="G437" s="2"/>
      <x:c r="H437" s="2"/>
    </x:row>
    <x:row r="438" ht="21" customHeight="1">
      <x:c r="A438" s="2" t="str">
        <x:v>S3696</x:v>
      </x:c>
      <x:c r="B438" s="2" t="str">
        <x:v>S3696</x:v>
      </x:c>
      <x:c r="C438" s="7" t="n">
        <x:v>88.40349067566018</x:v>
      </x:c>
      <x:c r="D438" s="8" t="n">
        <x:f>ROUND(C438,2)</x:f>
        <x:v>88.4</x:v>
      </x:c>
      <x:c r="E438" s="2" t="str">
        <x:v>Rythern Master Price Sheet.xlsx | MASTER PRICE SHEET!I444</x:v>
      </x:c>
      <x:c r="F438" s="2"/>
      <x:c r="G438" s="2"/>
      <x:c r="H438" s="2"/>
    </x:row>
    <x:row r="439" ht="21" customHeight="1">
      <x:c r="A439" s="2" t="str">
        <x:v>U1884244RS</x:v>
      </x:c>
      <x:c r="B439" s="2" t="str">
        <x:v>U1884244RS</x:v>
      </x:c>
      <x:c r="C439" s="7" t="n">
        <x:v>246.80078718922718</x:v>
      </x:c>
      <x:c r="D439" s="8" t="n">
        <x:f>ROUND(C439,2)</x:f>
        <x:v>246.8</x:v>
      </x:c>
      <x:c r="E439" s="2" t="str">
        <x:v>Rythern Master Price Sheet.xlsx | MASTER PRICE SHEET!I445</x:v>
      </x:c>
      <x:c r="F439" s="2"/>
      <x:c r="G439" s="2"/>
      <x:c r="H439" s="2"/>
    </x:row>
    <x:row r="440" ht="21" customHeight="1">
      <x:c r="A440" s="2" t="str">
        <x:v>U1890244RS</x:v>
      </x:c>
      <x:c r="B440" s="2" t="str">
        <x:v>U1890244RS</x:v>
      </x:c>
      <x:c r="C440" s="7" t="n">
        <x:v>256.4922124259863</x:v>
      </x:c>
      <x:c r="D440" s="8" t="n">
        <x:f>ROUND(C440,2)</x:f>
        <x:v>256.49</x:v>
      </x:c>
      <x:c r="E440" s="2" t="str">
        <x:v>Rythern Master Price Sheet.xlsx | MASTER PRICE SHEET!I446</x:v>
      </x:c>
      <x:c r="F440" s="2"/>
      <x:c r="G440" s="2"/>
      <x:c r="H440" s="2"/>
    </x:row>
    <x:row r="441" ht="21" customHeight="1">
      <x:c r="A441" s="2" t="str">
        <x:v>U1896244RS</x:v>
      </x:c>
      <x:c r="B441" s="2" t="str">
        <x:v>U1896244RS</x:v>
      </x:c>
      <x:c r="C441" s="7" t="n">
        <x:v>267.52183080779315</x:v>
      </x:c>
      <x:c r="D441" s="8" t="n">
        <x:f>ROUND(C441,2)</x:f>
        <x:v>267.52</x:v>
      </x:c>
      <x:c r="E441" s="2" t="str">
        <x:v>Rythern Master Price Sheet.xlsx | MASTER PRICE SHEET!I447</x:v>
      </x:c>
      <x:c r="F441" s="2"/>
      <x:c r="G441" s="2"/>
      <x:c r="H441" s="2"/>
    </x:row>
    <x:row r="442" ht="21" customHeight="1">
      <x:c r="A442" s="2" t="str">
        <x:v>U2484244RS</x:v>
      </x:c>
      <x:c r="B442" s="2" t="str">
        <x:v>U2484244RS</x:v>
      </x:c>
      <x:c r="C442" s="7" t="n">
        <x:v>295.911685637302</x:v>
      </x:c>
      <x:c r="D442" s="8" t="n">
        <x:f>ROUND(C442,2)</x:f>
        <x:v>295.91</x:v>
      </x:c>
      <x:c r="E442" s="2" t="str">
        <x:v>Rythern Master Price Sheet.xlsx | MASTER PRICE SHEET!I448</x:v>
      </x:c>
      <x:c r="F442" s="2"/>
      <x:c r="G442" s="2"/>
      <x:c r="H442" s="2"/>
    </x:row>
    <x:row r="443" ht="21" customHeight="1">
      <x:c r="A443" s="2" t="str">
        <x:v>U2490244RS</x:v>
      </x:c>
      <x:c r="B443" s="2" t="str">
        <x:v>U2490244RS</x:v>
      </x:c>
      <x:c r="C443" s="7" t="n">
        <x:v>292.9706479617116</x:v>
      </x:c>
      <x:c r="D443" s="8" t="n">
        <x:f>ROUND(C443,2)</x:f>
        <x:v>292.97</x:v>
      </x:c>
      <x:c r="E443" s="2" t="str">
        <x:v>Rythern Master Price Sheet.xlsx | MASTER PRICE SHEET!I449</x:v>
      </x:c>
      <x:c r="F443" s="2"/>
      <x:c r="G443" s="2"/>
      <x:c r="H443" s="2"/>
    </x:row>
    <x:row r="444" ht="21" customHeight="1">
      <x:c r="A444" s="2" t="str">
        <x:v>U2496244RS</x:v>
      </x:c>
      <x:c r="B444" s="2" t="str">
        <x:v>U2496244RS</x:v>
      </x:c>
      <x:c r="C444" s="7" t="n">
        <x:v>304.9031148907445</x:v>
      </x:c>
      <x:c r="D444" s="8" t="n">
        <x:f>ROUND(C444,2)</x:f>
        <x:v>304.9</x:v>
      </x:c>
      <x:c r="E444" s="2" t="str">
        <x:v>Rythern Master Price Sheet.xlsx | MASTER PRICE SHEET!I450</x:v>
      </x:c>
      <x:c r="F444" s="2"/>
      <x:c r="G444" s="2"/>
      <x:c r="H444" s="2"/>
    </x:row>
    <x:row r="445" ht="21" customHeight="1">
      <x:c r="A445" s="2" t="str">
        <x:v>U308424</x:v>
      </x:c>
      <x:c r="B445" s="2" t="str">
        <x:v>U308424</x:v>
      </x:c>
      <x:c r="C445" s="7" t="n">
        <x:v>235.69406405335909</x:v>
      </x:c>
      <x:c r="D445" s="8" t="n">
        <x:f>ROUND(C445,2)</x:f>
        <x:v>235.69</x:v>
      </x:c>
      <x:c r="E445" s="2" t="str">
        <x:v>Rythern Master Price Sheet.xlsx | MASTER PRICE SHEET!I451</x:v>
      </x:c>
      <x:c r="F445" s="2"/>
      <x:c r="G445" s="2"/>
      <x:c r="H445" s="2"/>
    </x:row>
    <x:row r="446" ht="21" customHeight="1">
      <x:c r="A446" s="2" t="str">
        <x:v>U3084244RS</x:v>
      </x:c>
      <x:c r="B446" s="2" t="str">
        <x:v>U3084244RS</x:v>
      </x:c>
      <x:c r="C446" s="7" t="n">
        <x:v>327.13408595567967</x:v>
      </x:c>
      <x:c r="D446" s="8" t="n">
        <x:f>ROUND(C446,2)</x:f>
        <x:v>327.13</x:v>
      </x:c>
      <x:c r="E446" s="2" t="str">
        <x:v>Rythern Master Price Sheet.xlsx | MASTER PRICE SHEET!I452</x:v>
      </x:c>
      <x:c r="F446" s="2"/>
      <x:c r="G446" s="2"/>
      <x:c r="H446" s="2"/>
    </x:row>
    <x:row r="447" ht="21" customHeight="1">
      <x:c r="A447" s="2" t="str">
        <x:v>U3090244RS</x:v>
      </x:c>
      <x:c r="B447" s="2" t="str">
        <x:v>U3090244RS</x:v>
      </x:c>
      <x:c r="C447" s="7" t="n">
        <x:v>323.793450129256</x:v>
      </x:c>
      <x:c r="D447" s="8" t="n">
        <x:f>ROUND(C447,2)</x:f>
        <x:v>323.79</x:v>
      </x:c>
      <x:c r="E447" s="2" t="str">
        <x:v>Rythern Master Price Sheet.xlsx | MASTER PRICE SHEET!I453</x:v>
      </x:c>
      <x:c r="F447" s="2"/>
      <x:c r="G447" s="2"/>
      <x:c r="H447" s="2"/>
    </x:row>
    <x:row r="448" ht="21" customHeight="1">
      <x:c r="A448" s="2" t="str">
        <x:v>U3096244RS</x:v>
      </x:c>
      <x:c r="B448" s="2" t="str">
        <x:v>U3096244RS</x:v>
      </x:c>
      <x:c r="C448" s="7" t="n">
        <x:v>336.2919067670072</x:v>
      </x:c>
      <x:c r="D448" s="8" t="n">
        <x:f>ROUND(C448,2)</x:f>
        <x:v>336.29</x:v>
      </x:c>
      <x:c r="E448" s="2" t="str">
        <x:v>Rythern Master Price Sheet.xlsx | MASTER PRICE SHEET!I454</x:v>
      </x:c>
      <x:c r="F448" s="2"/>
      <x:c r="G448" s="2"/>
      <x:c r="H448" s="2"/>
    </x:row>
    <x:row r="449" ht="21" customHeight="1">
      <x:c r="A449" s="2" t="str">
        <x:v>VS24FH</x:v>
      </x:c>
      <x:c r="B449" s="2" t="str">
        <x:v>VS24FH</x:v>
      </x:c>
      <x:c r="C449" s="7" t="n">
        <x:v>86.00762612106827</x:v>
      </x:c>
      <x:c r="D449" s="8" t="n">
        <x:f>ROUND(C449,2)</x:f>
        <x:v>86.01</x:v>
      </x:c>
      <x:c r="E449" s="2" t="str">
        <x:v>Rythern Master Price Sheet.xlsx | MASTER PRICE SHEET!I455</x:v>
      </x:c>
      <x:c r="F449" s="2"/>
      <x:c r="G449" s="2"/>
      <x:c r="H449" s="2"/>
    </x:row>
    <x:row r="450" ht="21" customHeight="1">
      <x:c r="A450" s="2" t="str">
        <x:v>VS27FH</x:v>
      </x:c>
      <x:c r="B450" s="2" t="str">
        <x:v>VS27FH</x:v>
      </x:c>
      <x:c r="C450" s="7" t="n">
        <x:v>91.64902756845918</x:v>
      </x:c>
      <x:c r="D450" s="8" t="n">
        <x:f>ROUND(C450,2)</x:f>
        <x:v>91.65</x:v>
      </x:c>
      <x:c r="E450" s="2" t="str">
        <x:v>Rythern Master Price Sheet.xlsx | MASTER PRICE SHEET!I456</x:v>
      </x:c>
      <x:c r="F450" s="2"/>
      <x:c r="G450" s="2"/>
      <x:c r="H450" s="2"/>
    </x:row>
    <x:row r="451" ht="21" customHeight="1">
      <x:c r="A451" s="2" t="str">
        <x:v>VS30FH</x:v>
      </x:c>
      <x:c r="B451" s="2" t="str">
        <x:v>VS30FH</x:v>
      </x:c>
      <x:c r="C451" s="7" t="n">
        <x:v>97.29042901584978</x:v>
      </x:c>
      <x:c r="D451" s="8" t="n">
        <x:f>ROUND(C451,2)</x:f>
        <x:v>97.29</x:v>
      </x:c>
      <x:c r="E451" s="2" t="str">
        <x:v>Rythern Master Price Sheet.xlsx | MASTER PRICE SHEET!I457</x:v>
      </x:c>
      <x:c r="F451" s="2"/>
      <x:c r="G451" s="2"/>
      <x:c r="H451" s="2"/>
    </x:row>
    <x:row r="452" ht="21" customHeight="1">
      <x:c r="A452" s="2" t="str">
        <x:v>VS33</x:v>
      </x:c>
      <x:c r="B452" s="2" t="str">
        <x:v>VS33</x:v>
      </x:c>
      <x:c r="C452" s="7" t="n">
        <x:v>112.55737069803338</x:v>
      </x:c>
      <x:c r="D452" s="8" t="n">
        <x:f>ROUND(C452,2)</x:f>
        <x:v>112.56</x:v>
      </x:c>
      <x:c r="E452" s="2" t="str">
        <x:v>Rythern Master Price Sheet.xlsx | MASTER PRICE SHEET!I458</x:v>
      </x:c>
      <x:c r="F452" s="2"/>
      <x:c r="G452" s="2"/>
      <x:c r="H452" s="2"/>
    </x:row>
    <x:row r="453" ht="21" customHeight="1">
      <x:c r="A453" s="2" t="str">
        <x:v>VS33FH</x:v>
      </x:c>
      <x:c r="B453" s="2" t="str">
        <x:v>VS33FH</x:v>
      </x:c>
      <x:c r="C453" s="7" t="n">
        <x:v>102.93183046324023</x:v>
      </x:c>
      <x:c r="D453" s="8" t="n">
        <x:f>ROUND(C453,2)</x:f>
        <x:v>102.93</x:v>
      </x:c>
      <x:c r="E453" s="2" t="str">
        <x:v>Rythern Master Price Sheet.xlsx | MASTER PRICE SHEET!I459</x:v>
      </x:c>
      <x:c r="F453" s="2"/>
      <x:c r="G453" s="2"/>
      <x:c r="H453" s="2"/>
    </x:row>
    <x:row r="454" ht="21" customHeight="1">
      <x:c r="A454" s="2" t="str">
        <x:v>VS36FH</x:v>
      </x:c>
      <x:c r="B454" s="2" t="str">
        <x:v>VS36FH</x:v>
      </x:c>
      <x:c r="C454" s="7" t="n">
        <x:v>108.57323191063116</x:v>
      </x:c>
      <x:c r="D454" s="8" t="n">
        <x:f>ROUND(C454,2)</x:f>
        <x:v>108.57</x:v>
      </x:c>
      <x:c r="E454" s="2" t="str">
        <x:v>Rythern Master Price Sheet.xlsx | MASTER PRICE SHEET!I460</x:v>
      </x:c>
      <x:c r="F454" s="2"/>
      <x:c r="G454" s="2"/>
      <x:c r="H454" s="2"/>
    </x:row>
    <x:row r="455" ht="21" customHeight="1">
      <x:c r="A455" s="2" t="str">
        <x:v>W1215GD</x:v>
      </x:c>
      <x:c r="B455" s="2" t="str">
        <x:v>W1215GD</x:v>
      </x:c>
      <x:c r="C455" s="7" t="n">
        <x:v>32.898137898202016</x:v>
      </x:c>
      <x:c r="D455" s="8" t="n">
        <x:f>ROUND(C455,2)</x:f>
        <x:v>32.9</x:v>
      </x:c>
      <x:c r="E455" s="2" t="str">
        <x:v>Rythern Master Price Sheet.xlsx | MASTER PRICE SHEET!I461</x:v>
      </x:c>
      <x:c r="F455" s="2"/>
      <x:c r="G455" s="2"/>
      <x:c r="H455" s="2"/>
    </x:row>
    <x:row r="456" ht="21" customHeight="1">
      <x:c r="A456" s="2" t="str">
        <x:v>W1515GD</x:v>
      </x:c>
      <x:c r="B456" s="2" t="str">
        <x:v>W1515GD</x:v>
      </x:c>
      <x:c r="C456" s="7" t="n">
        <x:v>36.453447215301665</x:v>
      </x:c>
      <x:c r="D456" s="8" t="n">
        <x:f>ROUND(C456,2)</x:f>
        <x:v>36.45</x:v>
      </x:c>
      <x:c r="E456" s="2" t="str">
        <x:v>Rythern Master Price Sheet.xlsx | MASTER PRICE SHEET!I462</x:v>
      </x:c>
      <x:c r="F456" s="2"/>
      <x:c r="G456" s="2"/>
      <x:c r="H456" s="2"/>
    </x:row>
    <x:row r="457" ht="21" customHeight="1">
      <x:c r="A457" s="2" t="str">
        <x:v>W1815GD</x:v>
      </x:c>
      <x:c r="B457" s="2" t="str">
        <x:v>W1815GD</x:v>
      </x:c>
      <x:c r="C457" s="7" t="n">
        <x:v>40.008756532400554</x:v>
      </x:c>
      <x:c r="D457" s="8" t="n">
        <x:f>ROUND(C457,2)</x:f>
        <x:v>40.01</x:v>
      </x:c>
      <x:c r="E457" s="2" t="str">
        <x:v>Rythern Master Price Sheet.xlsx | MASTER PRICE SHEET!I463</x:v>
      </x:c>
      <x:c r="F457" s="2"/>
      <x:c r="G457" s="2"/>
      <x:c r="H457" s="2"/>
    </x:row>
    <x:row r="458" ht="21" customHeight="1">
      <x:c r="A458" s="2" t="str">
        <x:v>W2115GD</x:v>
      </x:c>
      <x:c r="B458" s="2" t="str">
        <x:v>W2115GD</x:v>
      </x:c>
      <x:c r="C458" s="7" t="n">
        <x:v>43.56406584949974</x:v>
      </x:c>
      <x:c r="D458" s="8" t="n">
        <x:f>ROUND(C458,2)</x:f>
        <x:v>43.56</x:v>
      </x:c>
      <x:c r="E458" s="2" t="str">
        <x:v>Rythern Master Price Sheet.xlsx | MASTER PRICE SHEET!I464</x:v>
      </x:c>
      <x:c r="F458" s="2"/>
      <x:c r="G458" s="2"/>
      <x:c r="H458" s="2"/>
    </x:row>
    <x:row r="459" ht="21" customHeight="1">
      <x:c r="A459" s="2" t="str">
        <x:v>W2415GD</x:v>
      </x:c>
      <x:c r="B459" s="2" t="str">
        <x:v>W2415GD</x:v>
      </x:c>
      <x:c r="C459" s="7" t="n">
        <x:v>48.62800614196961</x:v>
      </x:c>
      <x:c r="D459" s="8" t="n">
        <x:f>ROUND(C459,2)</x:f>
        <x:v>48.63</x:v>
      </x:c>
      <x:c r="E459" s="2" t="str">
        <x:v>Rythern Master Price Sheet.xlsx | MASTER PRICE SHEET!I465</x:v>
      </x:c>
      <x:c r="F459" s="2"/>
      <x:c r="G459" s="2"/>
      <x:c r="H459" s="2"/>
    </x:row>
    <x:row r="460" ht="21" customHeight="1">
      <x:c r="A460" s="2" t="str">
        <x:v>W2715GD</x:v>
      </x:c>
      <x:c r="B460" s="2" t="str">
        <x:v>W2715GD</x:v>
      </x:c>
      <x:c r="C460" s="7" t="n">
        <x:v>52.183315459068645</x:v>
      </x:c>
      <x:c r="D460" s="8" t="n">
        <x:f>ROUND(C460,2)</x:f>
        <x:v>52.18</x:v>
      </x:c>
      <x:c r="E460" s="2" t="str">
        <x:v>Rythern Master Price Sheet.xlsx | MASTER PRICE SHEET!I466</x:v>
      </x:c>
      <x:c r="F460" s="2"/>
      <x:c r="G460" s="2"/>
      <x:c r="H460" s="2"/>
    </x:row>
    <x:row r="461" ht="21" customHeight="1">
      <x:c r="A461" s="2" t="str">
        <x:v>W3015GD</x:v>
      </x:c>
      <x:c r="B461" s="2" t="str">
        <x:v>W3015GD</x:v>
      </x:c>
      <x:c r="C461" s="7" t="n">
        <x:v>55.73862477616798</x:v>
      </x:c>
      <x:c r="D461" s="8" t="n">
        <x:f>ROUND(C461,2)</x:f>
        <x:v>55.74</x:v>
      </x:c>
      <x:c r="E461" s="2" t="str">
        <x:v>Rythern Master Price Sheet.xlsx | MASTER PRICE SHEET!I467</x:v>
      </x:c>
      <x:c r="F461" s="2"/>
      <x:c r="G461" s="2"/>
      <x:c r="H461" s="2"/>
    </x:row>
    <x:row r="462" ht="21" customHeight="1">
      <x:c r="A462" s="2" t="str">
        <x:v>W3315GD</x:v>
      </x:c>
      <x:c r="B462" s="2" t="str">
        <x:v>W3315GD</x:v>
      </x:c>
      <x:c r="C462" s="7" t="n">
        <x:v>59.293934093267175</x:v>
      </x:c>
      <x:c r="D462" s="8" t="n">
        <x:f>ROUND(C462,2)</x:f>
        <x:v>59.29</x:v>
      </x:c>
      <x:c r="E462" s="2" t="str">
        <x:v>Rythern Master Price Sheet.xlsx | MASTER PRICE SHEET!I468</x:v>
      </x:c>
      <x:c r="F462" s="2"/>
      <x:c r="G462" s="2"/>
      <x:c r="H462" s="2"/>
    </x:row>
    <x:row r="463" ht="21" customHeight="1">
      <x:c r="A463" s="2" t="str">
        <x:v>W3615GD</x:v>
      </x:c>
      <x:c r="B463" s="2" t="str">
        <x:v>W3615GD</x:v>
      </x:c>
      <x:c r="C463" s="7" t="n">
        <x:v>62.849243410366206</x:v>
      </x:c>
      <x:c r="D463" s="8" t="n">
        <x:f>ROUND(C463,2)</x:f>
        <x:v>62.85</x:v>
      </x:c>
      <x:c r="E463" s="2" t="str">
        <x:v>Rythern Master Price Sheet.xlsx | MASTER PRICE SHEET!I469</x:v>
      </x:c>
      <x:c r="F463" s="2"/>
      <x:c r="G463" s="2"/>
      <x:c r="H463" s="2"/>
    </x:row>
    <x:row r="464" ht="21" customHeight="1">
      <x:c r="A464" s="2" t="str">
        <x:v>WDEP1215</x:v>
      </x:c>
      <x:c r="B464" s="2" t="str">
        <x:v>WDEP1215</x:v>
      </x:c>
      <x:c r="C464" s="7" t="n">
        <x:v>8.421849911351224</x:v>
      </x:c>
      <x:c r="D464" s="8" t="n">
        <x:f>ROUND(C464,2)</x:f>
        <x:v>8.42</x:v>
      </x:c>
      <x:c r="E464" s="2" t="str">
        <x:v>Rythern Master Price Sheet.xlsx | MASTER PRICE SHEET!I470</x:v>
      </x:c>
      <x:c r="F464" s="2"/>
      <x:c r="G464" s="2"/>
      <x:c r="H464" s="2"/>
    </x:row>
    <x:row r="465" ht="21" customHeight="1">
      <x:c r="A465" s="2" t="str">
        <x:v>WMS3018</x:v>
      </x:c>
      <x:c r="B465" s="2" t="str">
        <x:v>WMS3018</x:v>
      </x:c>
      <x:c r="C465" s="7" t="n">
        <x:v>54.56119472126469</x:v>
      </x:c>
      <x:c r="D465" s="8" t="n">
        <x:f>ROUND(C465,2)</x:f>
        <x:v>54.56</x:v>
      </x:c>
      <x:c r="E465" s="2" t="str">
        <x:v>Rythern Master Price Sheet.xlsx | MASTER PRICE SHEET!I471</x:v>
      </x:c>
      <x:c r="F465" s="2"/>
      <x:c r="G465" s="2"/>
      <x:c r="H465" s="2"/>
    </x:row>
    <x:row r="466" ht="21" customHeight="1">
      <x:c r="A466" s="2" t="str">
        <x:v>WXR3018</x:v>
      </x:c>
      <x:c r="B466" s="2" t="str">
        <x:v>WXR3018</x:v>
      </x:c>
      <x:c r="C466" s="7" t="n">
        <x:v>14.77960243902439</x:v>
      </x:c>
      <x:c r="D466" s="8" t="n">
        <x:f>ROUND(C466,2)</x:f>
        <x:v>14.78</x:v>
      </x:c>
      <x:c r="E466" s="2" t="str">
        <x:v>Rythern Master Price Sheet.xlsx | MASTER PRICE SHEET!I474</x:v>
      </x:c>
      <x:c r="F466" s="2"/>
      <x:c r="G466" s="2"/>
      <x:c r="H466" s="2"/>
    </x:row>
  </x:sheetData>
  <x:pageMargins left="0.7" right="0.7" top="0.75" bottom="0.75" header="0.3" footer="0.3"/>
  <x:tableParts count="1">
    <x:tablePart xmlns:r="http://schemas.openxmlformats.org/officeDocument/2006/relationships" r:id="R70ff26031cfa47b4"/>
  </x:tableParts>
</x:worksheet>
</file>